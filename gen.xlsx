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Ivan\Sync\Drop\tree\"/>
    </mc:Choice>
  </mc:AlternateContent>
  <xr:revisionPtr revIDLastSave="0" documentId="13_ncr:1_{0315BA24-3585-4951-B5AE-3BC626277857}" xr6:coauthVersionLast="45" xr6:coauthVersionMax="45" xr10:uidLastSave="{00000000-0000-0000-0000-000000000000}"/>
  <bookViews>
    <workbookView xWindow="-110" yWindow="-110" windowWidth="25820" windowHeight="14160" activeTab="5" xr2:uid="{00000000-000D-0000-FFFF-FFFF00000000}"/>
  </bookViews>
  <sheets>
    <sheet name="люди" sheetId="8" r:id="rId1"/>
    <sheet name="тел" sheetId="3" r:id="rId2"/>
    <sheet name="notes" sheetId="4" r:id="rId3"/>
    <sheet name="links" sheetId="9" r:id="rId4"/>
    <sheet name="нп" sheetId="6" r:id="rId5"/>
    <sheet name="doc" sheetId="11" r:id="rId6"/>
    <sheet name="que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90" i="8" l="1"/>
  <c r="D90" i="8"/>
  <c r="E90" i="8"/>
  <c r="C91" i="8"/>
  <c r="D91" i="8"/>
  <c r="E91" i="8"/>
  <c r="C92" i="8"/>
  <c r="D92" i="8"/>
  <c r="E92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E47" i="8"/>
  <c r="D47" i="8"/>
  <c r="C47" i="8"/>
</calcChain>
</file>

<file path=xl/sharedStrings.xml><?xml version="1.0" encoding="utf-8"?>
<sst xmlns="http://schemas.openxmlformats.org/spreadsheetml/2006/main" count="2691" uniqueCount="1313">
  <si>
    <t>Пол</t>
  </si>
  <si>
    <t>Ф</t>
  </si>
  <si>
    <t>Дубовик</t>
  </si>
  <si>
    <t>Шищицы</t>
  </si>
  <si>
    <t>Мария</t>
  </si>
  <si>
    <t>Иван</t>
  </si>
  <si>
    <t>Минск</t>
  </si>
  <si>
    <t>Уласевич</t>
  </si>
  <si>
    <t>Плашево</t>
  </si>
  <si>
    <t>Хоровец</t>
  </si>
  <si>
    <t>1907</t>
  </si>
  <si>
    <t>Валище</t>
  </si>
  <si>
    <t>1993</t>
  </si>
  <si>
    <t>Хрипач</t>
  </si>
  <si>
    <t>Устинович</t>
  </si>
  <si>
    <t>Лайкова</t>
  </si>
  <si>
    <t>Анна</t>
  </si>
  <si>
    <t>Григорьевна</t>
  </si>
  <si>
    <t>Борис</t>
  </si>
  <si>
    <t>Лайков</t>
  </si>
  <si>
    <t>Минск, Кульмана 71-301</t>
  </si>
  <si>
    <t>Дина</t>
  </si>
  <si>
    <t>Виктор</t>
  </si>
  <si>
    <t>Владимир</t>
  </si>
  <si>
    <t>Владимирович</t>
  </si>
  <si>
    <t>Федор</t>
  </si>
  <si>
    <t>Миронович</t>
  </si>
  <si>
    <t>Людмила</t>
  </si>
  <si>
    <t>Донецкая обл., Солидовский р-н, пос. Цукурино, Зеленая 35</t>
  </si>
  <si>
    <t>Одоевского 95-84</t>
  </si>
  <si>
    <t>Сердича 42-1</t>
  </si>
  <si>
    <t>Леонид</t>
  </si>
  <si>
    <t>Антонина</t>
  </si>
  <si>
    <t>Гомель, Ильича 228</t>
  </si>
  <si>
    <t>Степанович</t>
  </si>
  <si>
    <t>Уборевича 64-110</t>
  </si>
  <si>
    <t>Надежда</t>
  </si>
  <si>
    <t>Михайловна</t>
  </si>
  <si>
    <t>?</t>
  </si>
  <si>
    <t>Валентина</t>
  </si>
  <si>
    <t>Семеновна</t>
  </si>
  <si>
    <t>Денисович</t>
  </si>
  <si>
    <t>Бердянск, Либкнехта 57-10</t>
  </si>
  <si>
    <t>Пушкина 55-71</t>
  </si>
  <si>
    <t>Гогунская Мария</t>
  </si>
  <si>
    <t>Смоленская обл., Вяземский р-н, Бывалицы</t>
  </si>
  <si>
    <t>Астахович / Евстахович</t>
  </si>
  <si>
    <t>Евстахович</t>
  </si>
  <si>
    <t>Новолукомль</t>
  </si>
  <si>
    <t>Николаевна / Никифоровна</t>
  </si>
  <si>
    <t>Притыцкого 32-168</t>
  </si>
  <si>
    <t>Солигорск, Ленина, Чижевичи</t>
  </si>
  <si>
    <t>https://partizany.by/partisans/138571/</t>
  </si>
  <si>
    <t>Николаевна</t>
  </si>
  <si>
    <t>Забельская Успенская церковь</t>
  </si>
  <si>
    <t>МК Забельской Успенской церкви</t>
  </si>
  <si>
    <t>Год Номер дела</t>
  </si>
  <si>
    <t>1786-97 1486 одна Забельская церковь, польский яз.</t>
  </si>
  <si>
    <t>1795 556с</t>
  </si>
  <si>
    <t>1797 558с</t>
  </si>
  <si>
    <t>1799 193 сомневаюсь, может это и не сборник</t>
  </si>
  <si>
    <t>1800 562</t>
  </si>
  <si>
    <t>1801 564</t>
  </si>
  <si>
    <t>1802 565</t>
  </si>
  <si>
    <t>784-2-2 только Забельская церковь</t>
  </si>
  <si>
    <t>1803 195 сборник слуцко-игуменский</t>
  </si>
  <si>
    <t>1805 567</t>
  </si>
  <si>
    <t>1806 569</t>
  </si>
  <si>
    <t>1807 573</t>
  </si>
  <si>
    <t>1808 576</t>
  </si>
  <si>
    <t>1809 579с</t>
  </si>
  <si>
    <t>1810 328с</t>
  </si>
  <si>
    <t>1811 582с</t>
  </si>
  <si>
    <t>1812 583с</t>
  </si>
  <si>
    <t>1813 585с</t>
  </si>
  <si>
    <t>1814 586с</t>
  </si>
  <si>
    <t>1815 587с</t>
  </si>
  <si>
    <t>1816 588</t>
  </si>
  <si>
    <t>1817 589</t>
  </si>
  <si>
    <t>1819 592</t>
  </si>
  <si>
    <t>1820 594</t>
  </si>
  <si>
    <t>1821 596</t>
  </si>
  <si>
    <t>1823 599</t>
  </si>
  <si>
    <t>1824 600</t>
  </si>
  <si>
    <t>1825 601</t>
  </si>
  <si>
    <t>1826 602 расшито не дали</t>
  </si>
  <si>
    <t>1827 603</t>
  </si>
  <si>
    <t>1828 604</t>
  </si>
  <si>
    <t>1829 605</t>
  </si>
  <si>
    <t>1830 606</t>
  </si>
  <si>
    <t>1831 607</t>
  </si>
  <si>
    <t>1832 608</t>
  </si>
  <si>
    <t>1833 609</t>
  </si>
  <si>
    <t>1834 610</t>
  </si>
  <si>
    <t>1835 612</t>
  </si>
  <si>
    <t>1836 616</t>
  </si>
  <si>
    <t>1837 617 было расшито</t>
  </si>
  <si>
    <t>1838 619</t>
  </si>
  <si>
    <t>1839 621 было расшито 527-561</t>
  </si>
  <si>
    <t>1840 623 413-444</t>
  </si>
  <si>
    <t>Буква «с» (совместные) поставлена рядом с номерами Слуцко-Бобруйских сборников МК.</t>
  </si>
  <si>
    <t>Островки</t>
  </si>
  <si>
    <t>нац архив: с 1917 г. по настоящее время</t>
  </si>
  <si>
    <t>нац исторический архив: с ХIV до начала XX вв., метрические книги – до начала 50-х гг. XX в.</t>
  </si>
  <si>
    <t>архив ЗАГС: записи актов гражданского состояния с 1945 года</t>
  </si>
  <si>
    <t xml:space="preserve"> </t>
  </si>
  <si>
    <t>1889-1892</t>
  </si>
  <si>
    <t>1905</t>
  </si>
  <si>
    <t xml:space="preserve">Минская губерния </t>
  </si>
  <si>
    <t xml:space="preserve">Пинский уезд </t>
  </si>
  <si>
    <t xml:space="preserve">Логишинская волость </t>
  </si>
  <si>
    <t xml:space="preserve">Валище, деревня </t>
  </si>
  <si>
    <t xml:space="preserve">Полесское воеводство </t>
  </si>
  <si>
    <t xml:space="preserve">Пинский повет </t>
  </si>
  <si>
    <t xml:space="preserve">сельская гмина Логишин </t>
  </si>
  <si>
    <t xml:space="preserve">Логишин сельская гмина </t>
  </si>
  <si>
    <t xml:space="preserve">Брестская область </t>
  </si>
  <si>
    <t xml:space="preserve">Пинский район </t>
  </si>
  <si>
    <t xml:space="preserve">Валищенский сельсовет </t>
  </si>
  <si>
    <t xml:space="preserve">Валище, агрогородок </t>
  </si>
  <si>
    <t xml:space="preserve">Могилёвская губерния </t>
  </si>
  <si>
    <t xml:space="preserve">Сенненский уезд </t>
  </si>
  <si>
    <t xml:space="preserve">Обчугская волость </t>
  </si>
  <si>
    <t xml:space="preserve">Островки, деревня </t>
  </si>
  <si>
    <t xml:space="preserve">Борисовский округ </t>
  </si>
  <si>
    <t xml:space="preserve">Черейский район </t>
  </si>
  <si>
    <t xml:space="preserve">Дубовский сельсовет </t>
  </si>
  <si>
    <t xml:space="preserve">Островки, застенок </t>
  </si>
  <si>
    <t xml:space="preserve">Минская область </t>
  </si>
  <si>
    <t xml:space="preserve">Крупский район </t>
  </si>
  <si>
    <t xml:space="preserve">Октябрьский сельсовет </t>
  </si>
  <si>
    <t>Обчуга - православный приход Преображения Господня</t>
  </si>
  <si>
    <t>Логишин - православный приход Святых Апостолов Петра и Павла</t>
  </si>
  <si>
    <t>Логишин - католический приход Святых апостолов Петра и Павла</t>
  </si>
  <si>
    <t>Озаричи - православный приход Покрова Пресвятой Богородицы</t>
  </si>
  <si>
    <r>
      <t>Минская губерния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</si>
  <si>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Минский уезд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</si>
  <si>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Старосельская волость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</si>
  <si>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Плашево, деревня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</si>
  <si>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Плашево, застенок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</si>
  <si>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t xml:space="preserve">Белорусская ССР </t>
  </si>
  <si>
    <r>
      <t>Плашево 1-2, хутор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</si>
  <si>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Минский округ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</si>
  <si>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Заславский район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</si>
  <si>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Старосельский сельсовет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</si>
  <si>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Плашево, хутор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</si>
  <si>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Минская область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</si>
  <si>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Дзержинский район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</si>
  <si>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Демидовичский сельсовет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</si>
  <si>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t>Старое Село - православный приход Рождества Пресвятой Богородицы</t>
  </si>
  <si>
    <r>
      <t>Слуцкий уезд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</si>
  <si>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Греская волость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</si>
  <si>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Шищицы, деревня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</si>
  <si>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Слуцкий округ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</si>
  <si>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Гресский район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</si>
  <si>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Шищицкий сельсовет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</si>
  <si>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Слуцкий район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</si>
  <si>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Гацуковский сельсовет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</si>
  <si>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t>Забелы - православный приход Успения Пресвятой Богородицы</t>
  </si>
  <si>
    <t>Назва (бел.)</t>
  </si>
  <si>
    <t>Плашава</t>
  </si>
  <si>
    <t>Название (рус.)</t>
  </si>
  <si>
    <t>Раён</t>
  </si>
  <si>
    <t>Дзяржынскі</t>
  </si>
  <si>
    <t>Павет (XVIII ст.)</t>
  </si>
  <si>
    <t>Менскі</t>
  </si>
  <si>
    <t>Маёнтак (XVIII ст.)</t>
  </si>
  <si>
    <t>Старое Сяло</t>
  </si>
  <si>
    <t>Уласнік (XVIII ст.)</t>
  </si>
  <si>
    <t>Радзівілы</t>
  </si>
  <si>
    <t>Парафія (XVIII ст.)</t>
  </si>
  <si>
    <t>Волма</t>
  </si>
  <si>
    <t>Имение (до 1863 г.)</t>
  </si>
  <si>
    <t>Старое Село</t>
  </si>
  <si>
    <t>Владелец (XIX в.)</t>
  </si>
  <si>
    <t>Володкович</t>
  </si>
  <si>
    <t>Приход (прав., XIX в.)</t>
  </si>
  <si>
    <t>Старосельский</t>
  </si>
  <si>
    <t>Уезд</t>
  </si>
  <si>
    <t>Минский</t>
  </si>
  <si>
    <t>Волость</t>
  </si>
  <si>
    <t>Старосельская</t>
  </si>
  <si>
    <t>Приход (прав., нач. XX в.)</t>
  </si>
  <si>
    <t>Тип</t>
  </si>
  <si>
    <t>Околица</t>
  </si>
  <si>
    <t>Сельсовет (1981 г.)</t>
  </si>
  <si>
    <t>Демидовичский</t>
  </si>
  <si>
    <t>Сельсовет (2011 г.)</t>
  </si>
  <si>
    <t>Астроўкі</t>
  </si>
  <si>
    <t>Крупскі</t>
  </si>
  <si>
    <t>Принадлежность (дорев.)</t>
  </si>
  <si>
    <t>Логовск. сель. общ.</t>
  </si>
  <si>
    <t>Сенненский</t>
  </si>
  <si>
    <t>Обчугская</t>
  </si>
  <si>
    <t>Обчугский</t>
  </si>
  <si>
    <t>Деревня</t>
  </si>
  <si>
    <t>Обчугский; с 28.05.2013 Октябрьский</t>
  </si>
  <si>
    <t>Валішча</t>
  </si>
  <si>
    <t>Варыянты</t>
  </si>
  <si>
    <t>Завалье, Валище 1-я</t>
  </si>
  <si>
    <t>Пінскі</t>
  </si>
  <si>
    <t>Лагішын</t>
  </si>
  <si>
    <t>дзярж.</t>
  </si>
  <si>
    <t>Новоземля</t>
  </si>
  <si>
    <t>Сташевич</t>
  </si>
  <si>
    <t>Логишинский</t>
  </si>
  <si>
    <t>Пинский</t>
  </si>
  <si>
    <t>Логишинская</t>
  </si>
  <si>
    <t>Валищенский</t>
  </si>
  <si>
    <t>Шышчыцы</t>
  </si>
  <si>
    <t>Слуцкі</t>
  </si>
  <si>
    <t>Навагрудскі</t>
  </si>
  <si>
    <t>Слуцк</t>
  </si>
  <si>
    <t>Греск</t>
  </si>
  <si>
    <t>Радзивил</t>
  </si>
  <si>
    <t>Забельский</t>
  </si>
  <si>
    <t>Слуцкий</t>
  </si>
  <si>
    <t>Греская</t>
  </si>
  <si>
    <t>Гресский</t>
  </si>
  <si>
    <t>Гресский; с 28.05.2013 Гацуковский</t>
  </si>
  <si>
    <t>Призывные и посемейные списки 1874,1883,1894,1904,1914 года.</t>
  </si>
  <si>
    <t>Бывшие Витебская,Минская,Могилёвская губернии.</t>
  </si>
  <si>
    <t>Место хранения НИАБ Минск</t>
  </si>
  <si>
    <t>Общая сохранность посемейных списков:</t>
  </si>
  <si>
    <t>Витебская губерния-около 90 списков</t>
  </si>
  <si>
    <t>Минская губерния-около 175 списков</t>
  </si>
  <si>
    <t>Могилевская губерния-около 20 списков</t>
  </si>
  <si>
    <t>Похозяйственная книга- является документом первичного административного учета сельского населения, а также наличия у него земли, жилых построек, скота и другого имущества. До начала 1960-ых указывалась и национальность. Их ведение осуществляется с 1934 года и по сегодняшний день.</t>
  </si>
  <si>
    <t>По территории Беларуси сохранились, в основном, начиная с 1944 года.</t>
  </si>
  <si>
    <t>Место хранения-областные архивы, зональные архивы, сельсоветы.</t>
  </si>
  <si>
    <t>Домовая книга- являлась документом отражающим сведения о городских гражданах, которые проживали в доме или квартире. В СССР официально и повсеместно введена в 1933 году. Документы о домовладениях и домовые книги велись с 1918 года(в Российской империи и ранее).Отменены в Беларуси с 2011 года. Документы о домовладениях и домовые книги до 1940-ых годов следует искать в республиканских, областных и зональных архивах(смотря за какой период).С 1944 года домовые книги многоквартирных домов следует искать в Расчётно-Справочных центрах(ЖЭК, ЖКХ),в областных и зональных архивах.Домовые книги проживавших в собственном частном доме велись домовладельцем, у него же и хранились.Следует искать у домовладельца,в Расчётно-Справочных центрах(ЖЭК, ЖКХ),в областных и зональных архивах.</t>
  </si>
  <si>
    <t>Сельскохозяйственная перепись 1916 и 1917 годов.</t>
  </si>
  <si>
    <t>1916 года проводилась по 9 формулярам,а 1917 по 4-ем формулярам</t>
  </si>
  <si>
    <t>Не проводилась в Финляндии и на территориях оккупированных немцами. Данные сельскохозяйственной переписи хранятся в НИАБ Минск. Фонд 325 Минская губернская земская управа(часть Минской и Виленской губернии).И в ЛГИА Вильнюс фонд 751(часть Виленской губернии).По Витебской(фонд 2515 НИАБ Минск) и Могилевской(фонд 2084 НИАБ Минск) губерниям сохранилась в основном статистическая информация.Наибольший интерес представляет подворная карточка Всероссийской сельскохозяйственной и поземельной переписи 1917 г.</t>
  </si>
  <si>
    <t>В разделе карточки "Население" указывались: фамилия, имя и отчество домохозяина, его сословие, национальность, главное занятие,состав семьи.</t>
  </si>
  <si>
    <t>Викентьевич</t>
  </si>
  <si>
    <t>Родился в 1866 г., д. Плашево Койдановского уезда Минской губ.; белорус; образование н/начальное; крестьянин, единоличное хоз-во. Проживал: Минская обл., Дзержинский р-н, д. Плашево.
Арестован 17 марта 1928 г.
Приговорен: ОСО 27 июля 1928 г., обв.: 58-6, 59-9, 10 УК РСФСР - шпионаж.к/банда, содей.перех.границы.
Приговор: 3 года высылки, отбыв.: Приангарский край, освоб. 1931 Реабилитирован 31 августа 1993 г. Военпрокуратура РБ
Источник: Белорусский "Мемориал"</t>
  </si>
  <si>
    <t>Антон</t>
  </si>
  <si>
    <t>1866</t>
  </si>
  <si>
    <t>(Фамилия)</t>
  </si>
  <si>
    <t>Фамилия</t>
  </si>
  <si>
    <t>Имя</t>
  </si>
  <si>
    <t>Отчество</t>
  </si>
  <si>
    <t>Дата рожд.</t>
  </si>
  <si>
    <t>Место рожд.</t>
  </si>
  <si>
    <t>Дата смерти</t>
  </si>
  <si>
    <t>Место смерти</t>
  </si>
  <si>
    <t>Родился в 1903 г., д. ПлашевоДзержинского р-на Минской обл.; поляк; образование н/начальное; полевод, к-з им.Мархлевского. Проживал: Минская обл., Дзержинский р-н, д. Сред. Плашево.
Арестован 17 февраля 1933 г.
Приговорен: "тройка" 5 апреля 1933 г., обв.: 72, 76 УК БССР - член а/с орг-ции.
Приговор: ВМН, конфискация имущества Реабилитирован 17 марта 1962 г. Президиум Минск.облсуда
Источник: Белорусский "Мемориал"</t>
  </si>
  <si>
    <t>1903</t>
  </si>
  <si>
    <t>Михайлович</t>
  </si>
  <si>
    <t>Иосиф</t>
  </si>
  <si>
    <t>Иосифович</t>
  </si>
  <si>
    <t>Родился в 1905 г., д. Мал. Плашево Дзержинского р-на; белорус; образование начальное; плотник, Контора прораба № 2, ст. Орша-Центральная. Проживал: Витебская обл., Оршанский р-н, Орша, ул. 1-я Поженковская, д. 4.
Арестован 27 августа 1937 г.
Приговорен: Комиссия НКВД СССР и Прокурора СССР 22 октября 1937 г., обв.: 68 УК БССР - агент польской разведки.
Приговор: ВМН Расстрелян 10 ноября 1937 г. Место захоронения - Орша. Реабилитирован 13 октября 1989 г. Военная прокуратура БВО
Источник: Белорусский "Мемориал"</t>
  </si>
  <si>
    <t>Родился в 1905 г., д. М. Плашево Дзержинского р-на Минской обл.; поляк; образование н/начальное; крестьянин, Единоличное хозво. Проживал: Минская обл., Дзержинский р-н, д. М. Плашево.
Арестован 30 января 1930 г.
Приговорен: "тройка" 14 февраля 1930 г., обв.: 76 УК БССР - А/с агитация.
Приговор: 5 лет ИТЛ, отбыв.: Усовлон ОГПУ г.Котлас Реабилитирован 10 мая 1989 г. Прокуратура БССР
Источник: Белорусский "Мемориал"</t>
  </si>
  <si>
    <t>М. Плашево</t>
  </si>
  <si>
    <t>10.11.1937</t>
  </si>
  <si>
    <t xml:space="preserve">Родился в 1909 г., д. М. Плашево Дзержинского р-на Минской обл.; поляк; образование н/начальное; крестьянин, Единоличное хозво. Проживал: Минская обл., Дзержинский р-н, д. М. Плашево.
Арестован 30 января 1930 г.
Приговорен: "тройка" 14 февраля 1930 г., обв.: 76 УК БССР - А/с агитация.
Приговор: 5 лет ИТЛ, отбыв.: Усовлон ОГПУ г.Котлас, освоб. 21.01.1934 Реабилитирован 10 мая 1989 г. Прокуратура БССР
Источник: Белорусский "Мемориал"
</t>
  </si>
  <si>
    <t>1909</t>
  </si>
  <si>
    <t>Франц</t>
  </si>
  <si>
    <t>Антонович</t>
  </si>
  <si>
    <t>Приговорен</t>
  </si>
  <si>
    <t>27 июля 1928</t>
  </si>
  <si>
    <t>5 апреля 1933</t>
  </si>
  <si>
    <t>22 октября 1937</t>
  </si>
  <si>
    <t>14 февраля 1930</t>
  </si>
  <si>
    <t>30 января 1930</t>
  </si>
  <si>
    <t>Арестован</t>
  </si>
  <si>
    <t>27 августа 1937</t>
  </si>
  <si>
    <t>17 февраля 1933</t>
  </si>
  <si>
    <t>17 марта 1928</t>
  </si>
  <si>
    <t>Шабловский</t>
  </si>
  <si>
    <t>Станислав</t>
  </si>
  <si>
    <t>Иванович</t>
  </si>
  <si>
    <t>Родился в 1886 г., д. Плашево Дзержинского р-на Минской обл.; поляк; образование н/начальное; крестьянин, единоличное хоз-во. Проживал: Минская обл., Дзержинский р-н, д. Плашево.
Арестован 31 января 1930 г.
Приговорен: "тройка" 14 февраля 1930 г., обв.: 76 УК БССР - А/с агитация.
Приговор: 5 лет ИТЛ, отбыв.: Усевлон г.Котлас Реабилитирован 10 мая 1989 г. Прокуратура БССР
Источник: Белорусский "Мемориал"</t>
  </si>
  <si>
    <t>1886</t>
  </si>
  <si>
    <t>Родился в 1894 г., д. Островки Крупского р-на Минской обл.; белорус; образование н/начальное; колхозник, К-з"Путиловец". Проживал: Минская обл., Крупский р-н, д. Осечено.
Арестован 6 июля 1932 г.
Приговорен: "тройка" 9 августа 1932 г., обв.: 72 УК БССР - А/с агитация.
Приговор: 3 года ИТЛ Реабилитирован 5 декабря 1989 г. Прокуратура Минской обл.
Источник: Белорусский "Мемориал"</t>
  </si>
  <si>
    <t>Ананий</t>
  </si>
  <si>
    <t>Сазонович</t>
  </si>
  <si>
    <t>31 января 1930</t>
  </si>
  <si>
    <t>6 июля 1932</t>
  </si>
  <si>
    <t>9 августа 1932</t>
  </si>
  <si>
    <t xml:space="preserve">Родился в 1915 г., д. Островки Крупского р-на Минской обл.; белорус; малограмотный; б/п; плотник шахты № 3. Проживал: с. Гришево Черемховского р-на Иркутской обл..
Арестован 3 апреля 1947 г.
Приговорен: Иркутский облсуд 21 октября 1947 г., обв.: по ст. 58-3, 58-10 ч.2..
Приговор: 10 лет лишения свободы. Реабилитирован 27 ноября 1996 г.
Источник: Книга памяти Иркутской обл.
</t>
  </si>
  <si>
    <t>Астах</t>
  </si>
  <si>
    <t>Романович</t>
  </si>
  <si>
    <t>21 октября 1947</t>
  </si>
  <si>
    <t>3 апреля 1947</t>
  </si>
  <si>
    <t>1894</t>
  </si>
  <si>
    <t>1915</t>
  </si>
  <si>
    <t>Родился в 1896 г., д. Клинимо Холопинечского р-на; белорус; образование среднее; служащий, 2-й секретарь Могилевского ГК КПБ. Проживал: Могилев.
Арестован 4 ноября 1937 г.
Приговорен: ВКВС СССР 13 декабря 1937 г., обв.: 61, 71, 76 - Участник антисоветской вредительской организации.
Приговор: ВМН Расстрелян 20 декабря 1937 г. Место захоронения - Минск. Реабилитирован 20 июля 1957 г. Верховным судом СССР
Источник: Белорусский "Мемориал"</t>
  </si>
  <si>
    <t>1896</t>
  </si>
  <si>
    <t>20.12.1937</t>
  </si>
  <si>
    <t>13 декабря 1937</t>
  </si>
  <si>
    <t>4 ноября 1937</t>
  </si>
  <si>
    <t>Евгений</t>
  </si>
  <si>
    <t>Клишино</t>
  </si>
  <si>
    <t>Родился в 1900 г., Белоруссия, д. Клишино; белорус; б/п; Служащий. Проживал: Куйбышеве.
Арестован 18 июня 1937 г.
Приговорен: УНКВД по Куйбышевской обл. 26 июля 1939 г., обв.: по ст. ст. 58-7, 58-10 и 58-11.
Приговор: уголовное дело прекращено за недостатком улик. Реабилитирован по Закону от 18 октября 1991 г.
Источник: Книга памяти Самарской обл.</t>
  </si>
  <si>
    <t>18 июня 1937</t>
  </si>
  <si>
    <t>26 июля 1939</t>
  </si>
  <si>
    <t>Аркадьевич</t>
  </si>
  <si>
    <t>1900</t>
  </si>
  <si>
    <t>Родился в 1915 г., БССР, г. Орша;
Расстрелян 9 сентября 1937 г. Место захоронения - место захоронения - Московская обл., Бутово. Реабилитирован сведений о реабилитации нет
Источник: Москва, расстрельные списки - Бутовский полигон</t>
  </si>
  <si>
    <t>Викторович</t>
  </si>
  <si>
    <t>Орша</t>
  </si>
  <si>
    <t>09.09.1937</t>
  </si>
  <si>
    <t>Родился в 1866 г., Могилевская обл.; русский; Проживал: Красноярский кр., Тасеевский р-н.
Приговорен: тройка при ПП ОГПУ СК 10 марта 1930 г., обв.: антисоветская агитация.
Приговор: Бессрочная ссылка Реабилитирован 14 ноября 1959 г.
Источник: Красноярское общество "Мемориал"</t>
  </si>
  <si>
    <t>Никита</t>
  </si>
  <si>
    <t>Могилевская обл.</t>
  </si>
  <si>
    <t>Родился в 1895 г., д. Островки Крупского р-на Минской обл.; белорус; неграмотный; колхозник, К-з"Путиловец". Проживал: Минская обл., Крупский р-н, д. Осечено.
Арестован 6 июля 1932 г.
Приговорен: "тройка" 9 августа 1932 г., обв.: 72 УК БССР - А/с агитация.
Приговор: 3 года ИТЛ Реабилитирован 5 декабря 1989 г. Прокуратура Минской обл.
Источник: Белорусский "Мемориал"</t>
  </si>
  <si>
    <t>Устин</t>
  </si>
  <si>
    <t>1895</t>
  </si>
  <si>
    <t>Родился в 1895 г., м.Черея Витебской обл.; дорожный мастер. Проживал: с.Красное..
Арестован 3 мая 1938 г.
Приговор: ВМН
Источник: Книга памяти Владимирской обл.</t>
  </si>
  <si>
    <t>Черея</t>
  </si>
  <si>
    <t>Феофан</t>
  </si>
  <si>
    <t>Емельянович</t>
  </si>
  <si>
    <t>3 мая 1938</t>
  </si>
  <si>
    <t>10 марта 1930</t>
  </si>
  <si>
    <t>Трусевич Адам Доминикович
Родился в 1884 г., д. Судники Дзержинского р-на Минской обл.; поляк; образование начальное; колхозник, Колхоз им.Крупской. Проживал: Минская обл., Дзержинский р-н, д. Судники Ляховичского с/с.
Арестован 13 апреля 1933 г.
Приговорен: "тройка" 30 апреля 1933 г., обв.: 72, 76, 120 УК БССР - член а/с группы, нелег.переход в Польшу.
Приговор: 3 года ссылки, отбыв.: Казахстан Реабилитирован 25 августа 1989 г. Прокуратура БССР
Источник: Белорусский "Мемориал"</t>
  </si>
  <si>
    <t>Трусевич Америк Николаевич
Родился в 1871 г., х. Гарутишки Койдановского р-на Минской обл.; поляк; образование н/начальное; крестьянин, Личное хозяйство. Проживал: Минская обл., Койдановский р-н, х. Гарутишки.
Арестован 8 апреля 1929 г.
Приговорен: ОСО 19 июня 1929 г., обв.: 58-10 УК РСФСР - А/с агитация.
Приговор: 3 года ссылки, отбыв.: Сибирь Реабилитирован 26 марта 1992 г. Прокуратура Минской обл.
Источник: Белорусский "Мемориал"</t>
  </si>
  <si>
    <t>Трусевич Бронислав Владимирович
Родился в 1894 г., х. Гарутишки Койдановского р-на Минской обл.; поляк; образование н/среднее; крестьянин, Личное хозяйство. Проживал: Минская обл., Койдановский р-н, х. Гарутишки.
Арестован 23 ноября 1929 г.
Приговорен: ОСО 15 декабря 1929 г., обв.: 72 УК БССР - А/с агитация.
Приговор: 3 года ссылки, отбыв.: Северный край Реабилитирован 28 февраля 1992 г. Прокуратура РБ
Источник: Белорусский "Мемориал"</t>
  </si>
  <si>
    <t>Трусевич Вацлав Степанович
Родился в 1896 г., х. Гарутишки Койдановского р-на Минской обл.; поляк; образование н/начальное; крестьянин, Личное хозяйство. Проживал: Минская обл., Койдановский р-н, х. Гарутишки.
Арестован 8 апреля 1929 г.
Приговорен: ОСО 19 июня 1929 г., обв.: 58-10 УК РСФСР - А/с агитация.
Приговор: 3 года ссылки, отбыв.: Красноярский край Реабилитирован 26 марта 1992 г. Прокуратура Минской обл.
Источник: Белорусский "Мемориал"</t>
  </si>
  <si>
    <t>Трусевич Викентий Мартынович
Родился в 1887 г., д. Суковцы Дзержинского р-на; поляк; образование начальное; колхозник, Колхоз им.Дзержинского. Проживал: Минская обл., Заславльский р-н, х. Пуща.
Арестован 14 декабря 1937 г.
Приговорен: Комиссия НКВД СССР и Прокурора СССР 21 января 1938 г., обв.: 68/1 УК БССР - бандитизм, связь с польской разведкой.
Приговор: ВМН Расстрелян 28 февраля 1938 г. Место захоронения - Минск. Реабилитирован 7 января 1960 г. Военный трибунал БВО
Источник: Белорусский "Мемориал"</t>
  </si>
  <si>
    <t>Трусевич Викентий Фомич
Родился в 1865 г., х. Репище Койдановского р-на Минского окр.; поляк; образование н/начальное; крестьянин, единоличное хоз-во. Проживал: Минская обл., Острошицко-Городокский р-н, х. Курган.
Арестован 6 февраля 1930 г.
Приговорен: "тройка" 16 июня 1930 г., обв.: 64, 68, 76 УК БССР - агент польской разведки, создавал к/р орг-цию.
Приговор: высылка Реабилитирован 16 марта 1989 г. Прокуратура БВО
Источник: Белорусский "Мемориал"</t>
  </si>
  <si>
    <t>Трусевич Иван Антонович
Родился 04.1895, д. Клиповщина Минского уезда Минской губ.; поляк; образование н/начальное; колхозник, Колхоз "9-е Января". Проживал: Минская обл., Минский р-н, д. Клиповщина.
Арестован 6 июня 1938 г.
Приговорен: "тройка" 15 октября 1938 г., обв.: 68, 71 УК БССР - член "ПОВ", шпионаж.
Приговор: ВМН Расстрелян 14 ноября 1938 г. Место захоронения - Минск. Реабилитирован 29 октября 1957 г. Военный трибунал БВО
Источник: Белорусский "Мемориал"</t>
  </si>
  <si>
    <t>Трусевич Иван Антонович
Родился в 1898 г., д. Судники Койдановского р-на; белорус; образование начальное; инспектор, Райсберкасса. Проживал: Минская обл., Столбцовский р-н, Столбцы, ул. Первомайская 73.
Арестован 26 июня 1940 г.
Приговорен: ОСО 9 января 1941 г., обв.: 74 УК БССР - а/с деятельность.
Приговор: 8 лет ИТЛ, отбыв.: Ухтижемлаг, освоб. 27.08.1941 Реабилитирован 20 июня 1989 г. Прокуратура БССР
Источник: Белорусский "Мемориал"</t>
  </si>
  <si>
    <t>Трусевич Иван Иванович
Родился в 1903 г., д. Шатановщина Койдановского р-на Минского округа; поляк; образование н/начальное; колхозник, Колхоз. Проживал: Минская обл., Дзержинский р-н, х. Коптевщина.
Арестован 30 июня 1932 г.
Приговорен: "тройка" 30 июля 1932 г., обв.: 72 УК БССР - А/с агитация.
Приговор: 3 года ИТЛ Реабилитирован 19 июля 1989 г. Прокуратура БССР
Источник: Белорусский "Мемориал"</t>
  </si>
  <si>
    <t>Трусевич Иван Степанович
Родился в 1893 г., д. Гарутишки Койдановского р-на Минского окр.; поляк; неграмотный; крестьянин, единоличное хоз-во. Проживал: Минская обл., Дзержинский р-н, д. Гарутишки.
Арестован 17 февраля 1930 г.
Приговорен: "тройка" 26 февраля 1930 г., обв.: 70.72 УК БССР - а/с агитация.
Приговор: ВМН Реабилитирован 19 мая 1989 г. Прокуратура БССР
Источник: Белорусский "Мемориал"</t>
  </si>
  <si>
    <t>Трусевич Иосиф Викентьевич
Родился 12.02.1888, п. Запольцы Польша; поляк; образование н/начальное; бригадир, Колхоз по м.ж.. Проживал: Минская обл., Дзержинский р-н, д. Строчаны.
Арестован 28 августа 1937 г.
Приговорен: Комиссия НКВД СССР и Прокурора СССР 29 октября 1937 г., обв.: 68 УК БССР - агент польской разведки.
Приговор: ВМН Расстрелян 3 ноября 1937 г. Место захоронения - Минск. Реабилитирован 29 июня 1959 г. Военный трибунал БВО
Источник: Белорусский "Мемориал"</t>
  </si>
  <si>
    <t>Трусевич Иосиф Иванович
Родился в 1887 г., д. Судники Койдановского р-на Минской обл.; поляк; неграмотный; крестьянин, единоличное хоз-во. Проживал: Минская обл., Дзержинский р-н, д. Коптивщена.
Арестован 29 апреля 1932 г.
Приговорен: "тройка" 21 июля 1932 г., обв.: 69, 72, 74 УК БССР - а/с деятельность.
Приговор: 3 года высылки Реабилитирован 17 ноября 1989 г. Прокуратура БССР
Источник: Белорусский "Мемориал"</t>
  </si>
  <si>
    <t>Трусевич Казимир Доминикович
Родился в 1891 г., д. Судники Дзержинского р-на Минской обл.; поляк; образование начальное; колхозник, Колхоз им.Крупской. Проживал: Минская обл., Дзержинский р-н, д. Судники Ляховичского с/с.
Арестован 17 марта 1933 г.
Приговорен: "тройка" 30 апреля 1933 г., обв.: 72, 76 УК БССР - член а/с группы, а/с агитация.
Приговор: 3 года ссылки, отбыв.: Казахстан Реабилитирован 25 августа 1989 г. Прокуратура РБ
Источник: Белорусский "Мемориал"</t>
  </si>
  <si>
    <t>Трусевич Король Иванович
Родился в 1887 г., д. Потдубье Койдановского р-на Минской обл.; поляк; неграмотный; крестьянин, единоличное хоз-во. Проживал: Минская обл., Дзержинский р-н, д. Коптивщена.
Арестован 29 апреля 1932 г.
Приговорен: "тройка" 21 июля 1932 г., обв.: 69, 72, 74 УК БССР - а/с деятельность.
Приговор: 3 года высылки Реабилитирован 17 ноября 1989 г. Прокуратура БССР
Источник: Белорусский "Мемориал"</t>
  </si>
  <si>
    <t>Трусевич Ксаверий Иванович
Родился в 1878 г., д. Судники Дзержинского р-на Минской обл.; поляк; образование н/начальное; колхозник, Колхоз им.Крупской. Проживал: Минская обл., Дзержинский р-н, д. Судники Ляховичского с/с.
Арестован 17 марта 1933 г.
Приговорен: "тройка" 30 апреля 1933 г., обв.: 72, 76 УК БССР - член а/с группы, а/с агитация.
Приговор: 3 года ссылки, отбыв.: Казахстан Реабилитирован 25 августа 1989 г. Прокуратура РБ
Источник: Белорусский "Мемориал"</t>
  </si>
  <si>
    <t>Трусевич Леопольд Михайлович
Родился в 1870 г., х.Казимирово; поляк; неграмотные; крестьянин, единоличное хозяйство. Проживал: Минская обл., Заславльский р-н, х.Покусь.
Арестован 22 января 1930 г.
Приговорен: "тройка" 13 февраля 1930 г., обв.: подозрение в связи с польской разведкой, 66, 68, 76 УК.
Приговор: ВМН Реабилитирован 14 июня 1963 г. Военный трибунал БВО
Источник: Белорусский "Мемориал"</t>
  </si>
  <si>
    <t>Трусевич Мария Стефановна
(варианты отчества: Степановна)) Родилась в 1897 г., д. Гарутишки Дзержинского р-на Минской обл.; полька; образование н/начальное; колхозница, К-з"За власть Советов". Проживала: Минская обл., Дзержинский р-н, д. Гарутишки.
Арестована 17 марта 1933 г.
Приговорена: "тройка" 9 февраля 1933 г., обв.: 72 УК БССР - А/с агитация.
Приговор: 3 года высылки Реабилитирована 25 августа 1989 г. Прокуратура БССР
Источник: Белорусский "Мемориал"</t>
  </si>
  <si>
    <t>Трусевич Мечислав Владиславович
Родился в 1897 г., х. Гарутишки Койдановского р-на Минской обл.; поляк; образование н/начальное; крестьянин, Личное хозяйство. Проживал: Минская обл., Койдановский р-н, х. Гарутишки.
Арестован 8 апреля 1929 г.
Приговорен: ОСО 19 июня 1929 г., обв.: 58-10 УК РСФСР - А/с агитация.
Приговор: 3 года ссылки, отбыв.: Томский округ Реабилитирован 26 марта 1992 г. Прокуратура Минской обл.
Источник: Белорусский "Мемориал"</t>
  </si>
  <si>
    <t>Трусевич Мечислав Владиславович
Родился в 1906 г., д. Горутишки Койдановского р-на; белорус; образование н/начальное; крестьянин, единоличное хоз-во. Проживал: Минская обл., Дзержинский р-н, д. Горутишки.
Арестован 8 апреля 1932 г.
Приговорен: "тройка" 7 февраля 1933 г., обв.: 58-10 УК РСФСР - А/с агитация.
Приговор: 3 года лиш.права прож.в 12 п. Реабилитирован 21 июня 1989 г. Прокуратура БССР
Источник: Белорусский "Мемориал"</t>
  </si>
  <si>
    <t>Трусевич Розалия Стефановна
(варианты отчества: Степановна)) Родилась в 1907 г., д. Гарутишки Дзержинского р-на Минской обл.; полька; образование н/начальное; колхозница, К-з"За власть Советов". Проживала: Минская обл., Дзержинский р-н, д. Гарутишки.
Арестована 17 марта 1933 г.
Приговорена: "тройка" 9 февраля 1933 г., обв.: 72 УК БССР - А/с агитация.
Приговор: 3 года высылки Реабилитирована 25 августа 1989 г. Прокуратура БССР
Источник: Белорусский "Мемориал"</t>
  </si>
  <si>
    <t>Трусевич Ромуальд Зенонович
Родился в 1899 г., х. Костюки Минского окр.; поляк; образование начальное; крестьянин, единоличное хоз-во. Проживал: Минская обл., Дзержинский р-н, д. Хомичи.
Арестован 27 февраля 1933 г.
Приговорен: "тройка" 28 марта 1933 г., обв.: 72, 76 УК БССР - член а/с группировки, а/с деят-сть.
Приговор: 10 лет ИТЛ Реабилитирован 30 марта 1989 г. Прокуратура Минск.обл.
Источник: Белорусский "Мемориал"</t>
  </si>
  <si>
    <t>Трусевич</t>
  </si>
  <si>
    <t>Адам</t>
  </si>
  <si>
    <t>Доминикович</t>
  </si>
  <si>
    <t>Америк</t>
  </si>
  <si>
    <t>Николаевич</t>
  </si>
  <si>
    <t>Бронислав</t>
  </si>
  <si>
    <t>1884</t>
  </si>
  <si>
    <t>Судники</t>
  </si>
  <si>
    <t>Гарутишки</t>
  </si>
  <si>
    <t>1871</t>
  </si>
  <si>
    <t>Вацлав</t>
  </si>
  <si>
    <t>Суковцы</t>
  </si>
  <si>
    <t>Викентий</t>
  </si>
  <si>
    <t>Мартынович</t>
  </si>
  <si>
    <t>1887</t>
  </si>
  <si>
    <t>Репище</t>
  </si>
  <si>
    <t>Фомич</t>
  </si>
  <si>
    <t>1865</t>
  </si>
  <si>
    <t>04.1895</t>
  </si>
  <si>
    <t>Клиповщина</t>
  </si>
  <si>
    <t>1898</t>
  </si>
  <si>
    <t>Запольцы</t>
  </si>
  <si>
    <t>1893</t>
  </si>
  <si>
    <t>12.02.1888</t>
  </si>
  <si>
    <t>Шатановщина</t>
  </si>
  <si>
    <t>03.11.1937</t>
  </si>
  <si>
    <t>Казимир</t>
  </si>
  <si>
    <t>1891</t>
  </si>
  <si>
    <t>Король</t>
  </si>
  <si>
    <t>Поддубье</t>
  </si>
  <si>
    <t>Ксаверий</t>
  </si>
  <si>
    <t>1878</t>
  </si>
  <si>
    <t>Казимирово</t>
  </si>
  <si>
    <t>Леопольд</t>
  </si>
  <si>
    <t>1870</t>
  </si>
  <si>
    <t>Стефановна</t>
  </si>
  <si>
    <t>1897</t>
  </si>
  <si>
    <t>Мечислав</t>
  </si>
  <si>
    <t>Владиславович</t>
  </si>
  <si>
    <t>1906</t>
  </si>
  <si>
    <t>Розалия</t>
  </si>
  <si>
    <t>Ромуальд</t>
  </si>
  <si>
    <t>Зенонович</t>
  </si>
  <si>
    <t>Костюки</t>
  </si>
  <si>
    <t>1899</t>
  </si>
  <si>
    <t>Уласевич Леонард Иосифович
Родился 10.08.1890, д. Лисовщина Заславльского р-на Минской обл.; белорус; образование н/начальное; кузнец, з-д им.Кирова. Проживал: Минск, ул. Грушевская 77, кв. 2.
Арестован 7 августа 1938 г.
Приговорен: "тройка" 14 ноября 1938 г., обв.: 68 УК БССР - Шпионаж в пользу Польши.
Приговор: 10 лет ИТЛ, отбыв.: Архангельская обл., п/о Ерцово, лагпункт 6|ссылка в Красноярский край, освоб. 25.10.1954 Реабилитирован 8 сентября 1954 г. Минская обл.комиссия по пересмотру дел
Источник: Белорусский "Мемориал"</t>
  </si>
  <si>
    <t>Леонард</t>
  </si>
  <si>
    <t>10.08.1890</t>
  </si>
  <si>
    <t>Лисовщина</t>
  </si>
  <si>
    <t>1.Послевоенный период(с 1944-1945гг по наше время)
Генеалогические источники- архивы ЗАГС, похозяйственные книги, домовые книги, личные дела военнообязанных,личные дела работников организаций и учреждений.
2.Период немецкой оккупации 1941-1944 года
Всё, что сохранилось за этот период хранится в областных и зональных архивах Беларуси. Основные генеалогические источники в этот период-заявления на получения паспортов, выписки о рождении, выписки о браке, списки граждан,трудовые книжки,справки. Отдельно стоит упомянуть информационную систему поиска участников ВОВ(онлайн)
3.Межвоенный период. Восточная Беларусь 1918/1921-1941 года
Основные генеалогические источники-ЗАГС, Всесоюзная перепись 1926 года, акты записей о рождении и браках (хранящиеся в не архивов ЗАГС),списки военнообязанных, списки о домовладениях, списки о налогооблажении и т.п. Архивы ЗАГС за этот период практически не сохранились.
4.Межвоенный период. Западная Беларусь 1918/1921-1941 года
Генеалогическими источниками являются метрические книги церквей, костелов и синагог. Кроме этого- удостоверения личности, списки жителей, лицевые счета, военные билеты и т.п.
5.Период Российской империи 1778/95-1917 года
Основные генеалогические источники-метрические книги, ревизские сказки, посемейные списки, призывные списки, документы о происхождении дворян. Вспомогательные генеалогические источники-сельхозперепись 1916-1917 года, дела крестьянского поземельного банка, прошения, жалобы, выкупные акты, инвентари, развертывание на хутора, переселенцы, списки рекрутов и список участников 1-ой Мировой войны (есть база в сети интернет)
6.Период ВКЛ и Речи Посполитой начало 16го века-1795 год.
Основные генеалогические источники в этот период-метрические книги(только 18-ый век),инвентари имений, реестры, актовые книги, дворянские родословные книги, писцовые книги,Литовская Метрика.</t>
  </si>
  <si>
    <t>Дубовик Адам Ефимович
Родился в 1910 г., д. Буда, Слуцкий р-н, Минская обл., БССР; белорус; Проживал: п. Красновишерск, Чердынский р-н, Пермская обл..
Арестован 3 января 1938 г.
Приговорен: 16 августа 1938 г.
Приговор: Дело прекращено за отсутствием состава преступления. Освобожден
Источник: Книга памяти Пермской обл.</t>
  </si>
  <si>
    <t>Дубовик Адольф Доминикович
Родился в 1901 г., д. Толкачевщина Добриновского с/с Минского р-на; белорус; образование начальное; кузнец, Строительство ст.Станьковского с/с. Проживал: Минская обл., Дзержинский р-н, д. Богдановщина.
Арестован 16 октября 1937 г.
Приговорен: Комиссия НКВД СССР и Прокурора СССР 29 октября 1937 г., обв.: 68 УК БССР - шпионаж, вредительство, а/с агитация.
Приговор: ВМН Расстрелян 11 ноября 1937 г. Реабилитирован 11 июня 1959 г. Военный трибунал БВО
Источник: Белорусский "Мемориал"</t>
  </si>
  <si>
    <t>Дубовик Александр Андреевич
Родился в 1890 г., д. Сутки, Узденский р-н, Минская обл., БССР; белорус; Проживал: п. Лобырь, Чердынский р-н, Пермская обл..
Арестован 6 августа 1937 г.
Приговорен: 17 сентября 1937 г., обв.: к.-р., повстанец, терр..
Приговор: ВМН, конфискация имущества Расстрелян 22 сентября 1937 г.
Источник: Книга памяти Пермской обл.</t>
  </si>
  <si>
    <t>Дубовик Александр Михайлович
Родился в 1892 г., д. Евсеевичи Гресского р-на Минского окр.; белорус; образование среднее; учитель, Школа по м.ж.. Проживал: Минская обл., Гресский р-н, д. Евсеевичи.
Арестован 3 декабря 1929 г.
Приговорен: ОСО 20 января 1930 г., обв.: 58-10 УК РСФСР - А/с агитация.
Приговор: 3 года ИТЛ, отбыв.: УСЛОН г.Котлас Реабилитирован 17 ноября 1989 г. Прокуратура БССР
Источник: Белорусский "Мемориал"</t>
  </si>
  <si>
    <t>Дубовик Александр Павлович
Родился 06.09.1897, х. Чертен Гресского р-на Минской обл.; белорус; образование н/начальное; конюх, Воробьевский лесоуч-к Слуцкого леспромхоза. Проживал: Минская обл., Гресский р-н, д. Воробьево.
Арестован 18 сентября 1937 г.
Приговорен: "тройка" 3 ноября 1937 г., обв.: 72 УК БССР - А/с агитация.
Приговор: 10 лет ИТЛ, отбыв.: Волжский ИТЛ Г.Рыбинск Реабилитирован 26 апреля 1989 г. Прокуратура Минск.обл.
Источник: Белорусский "Мемориал"</t>
  </si>
  <si>
    <t>Дубовик Александр Романович
Родился в 1906 г., д. Слобода Пырешевская Узденского р-на Минской обл.; белорус; образование среднее; начальник, Финотдел тюрьмы № 1 НКВД БССР. Проживал: Минская обл., Минск, ул. Мясникова 33, кв. 4.
Арестован 25 июля 1944 г.
Приговорен: судебный орган 21 декабря 1944 г., обв.: 63-1 УК БССР - измена Родине.
Приговор: 10 лет ИТЛ, 3 г. п/п, конфискация имущества Реабилитирован 28 августа 1990 г. Верховный Суд БССР
Источник: Белорусский "Мемориал"</t>
  </si>
  <si>
    <t>Дубовик Александра Тарасовна
Родилась в 1897 г. Проживала: Белоруссия, Уздянский р-н, Шевнянский с/с.
Приговорена: , обв.: на основании Постановления СНК и ЦИК от 01.02.1930 г..
Приговор: Выслана, м.с/п: п.Усть-Нем, Усть-Куломский р-н, Коми АССР.
Источник: Книга памяти Республики Коми</t>
  </si>
  <si>
    <t>Дубовик Анатолий Иванович
Родился в 1906 г., д. Воробьево Гресского р-на Минской обл.; белорус; образование начальное; десятник, Лесозаготовительное хоз-во. Проживал: Минская обл., Гресский р-н, д. Воробьево.
Арестован 13 марта 1938 г.
Приговорен: "тройка" 20 сентября 1938 г., обв.: 68 УК БССР - шпионаж в польу Польши.
Приговор: ВМН Расстрелян 1 октября 1938 г. Место захоронения - Минск. Реабилитирован 1 августа 1962 г. Военный трибунал БВО
Источник: Белорусский "Мемориал"</t>
  </si>
  <si>
    <t>Дубовик Анатолий Иосифович
Родился в 1927 г. Проживал: Белоруссия, Уздянский р-н, Шевнянский с/с.
Приговорен: , обв.: на основании Постановления СНК и ЦИК от 01.02.1930 г..
Приговор: Выслан, м.с/п: п.Усть-Нем, Усть-Куломский р-н, Коми АССР.
Источник: Книга памяти Республики Коми</t>
  </si>
  <si>
    <t>Дубовик Антон Герасимович
Родился в 1897 г., д. Белая Лужа Слуцкого р-на Минской обл.; белорус; образование н/начальное; колхозник, к-з им.Буденного. Проживал: Минская обл., Слуцкий р-н, д. Красное.
Арестован 18 марта 1933 г.
Приговорен: "тройка" 10 мая 1933 г., обв.: 72 УК БССР - А/с агитация.
Приговор: 3 года ИТЛ Реабилитирован 12 декабря 1989 г. Прокуратура Минск.обл.
Источник: Белорусский "Мемориал"</t>
  </si>
  <si>
    <t>Дубовик Антон Доминикович
Родился в 1906 г., д. Добриново Добриновского с/с Минского р-на; белорус; образование н/начальное; животновод, Колхоз "Новы будауник". Проживал: Минская обл., Минский р-н, д. Богдановщина.
Арестован 16 октября 1937 г.
Приговорен: Комиссия НКВД СССР и Прокурора СССР 29 октября 1937 г., обв.: 68 УК БССР - шпионаж, вредительство, а/с агитация.
Приговор: ВМН Расстрелян 11 ноября 1937 г. Реабилитирован 11 июня 1959 г. Военный трибунал БВО
Источник: Белорусский "Мемориал"</t>
  </si>
  <si>
    <t>Дубовик Антон Лукич
Родился в 1906 г., д. Новинки Слуцкого р-на БССР; белорус; образование начальное; заведующий, Спецчасть завода им Молотова. Проживал: Минская обл., Минск, ул. Михайловская 18/7, кв. 10.
Арестован 19 апреля 1933 г.
Приговорен: "тройка" 23 мая 1933 г., обв.: 68, 72, 75, 211 УК БССР - шпионская деятельность.
Приговор: 3 года ИТЛ Реабилитирован 30 апреля 1989 г. Прокуратура БВО
Источник: Белорусский "Мемориал"</t>
  </si>
  <si>
    <t>Дубовик Антон Поликарпович
Родился в 1899 г., д. Забелы Слуцкого р-на Минской обл.; белорус; образование начальное; крестьянин, единоличное хоз-во. Проживал: Минская обл., Слуцкий р-н, д. Забелы.
Арестован 1 марта 1933 г.
Приговорен: "тройка" 9 июня 1933 г., обв.: 72, 76 УК БССР - член к/р орг-ции, к/р агитация.
Приговор: 3 года ИТЛ, отбыв.: Дмитлаг, освоб. 18.02.1935 Реабилитирован 17 июня 1989 г. Прокуратура БССР
Источник: Белорусский "Мемориал"</t>
  </si>
  <si>
    <t>Дубовик Аркадий Антонович
Родился в 1912 г., д. Немча Слуцкого р-на Бобруйского округа; белорус; образование начальное; крестьянин, единоличное хоз-во. Проживал: Минская обл., Любанский р-н, д. Засмужье.
Арестован 5 августа 1930 г.
Приговорен: "тройка" 12 августа 1930 г., обв.: 72, 118 УК БССР - а/с агитация, побег с места ссылки.
Приговор: 3 года ИТЛ Реабилитирован 25 июля 1989 г. Прокуратура БССР
Источник: Белорусский "Мемориал"</t>
  </si>
  <si>
    <t>Дубовик Болеслав Антонович
Родился в 1885 г., д. Толкачевщина Добриновского с/с Минского р-на; поляк; образование начальное; колхозник, Колхоз "Новы будауник". Проживал: Минская обл., Дзержинский р-н, п. Ясенево Станьковского с/с.
Арестован 16 октября 1937 г.
Приговорен: Комиссия НКВД СССР и Прокурора СССР 29 октября 1937 г., обв.: 68 УК БССР - шпионаж, вредительство, а/с агитация.
Приговор: ВМН Расстрелян 11 ноября 1937 г. Реабилитирован 11 июня 1959 г. Военный трибунал БВО
Источник: Белорусский "Мемориал"</t>
  </si>
  <si>
    <t>Дубовик Василий Григорьевич
Родился в 1884 г., д. Озерцы Гресского р-на; белорус; образование н/начальное; колхозник, К-з"Пролетарская рев-ция". Проживал: Минская обл., Гресский р-н, д. Кошице.
Арестован 11 сентября 1937 г.
Приговорен: Комиссия НКВД СССР и Прокурора СССР 17 декабря 1937 г., обв.: 68, 69 УК БССР - агент польской разведки.
Приговор: ВМН Расстрелян 22 января 1938 г. Место захоронения - Слуцк. Реабилитирован 18 апреля 1990 г. Прокуратура БВО
Источник: Белорусский "Мемориал"</t>
  </si>
  <si>
    <t>Дубовик Василий Яковлевич
Родился 08.08.1904, д. Слобода Узденского р-на; белорус; образование н/начальное; подсобный рабочий, Деревообделочная артель. Проживал: Минская обл., Минск, ул. Заславльская 5, кв. 10.
Арестован 23 июня 1938 г.
Приговорен: "тройка" 26 сентября 1938 г., обв.: 68, 69 УК БССР - резидент польской разведки.
Приговор: ВМН Расстрелян 1 октября 1938 г. Место захоронения - Минск. Реабилитирован 28 апреля 1989 г. Прокуратура БВО
Источник: Белорусский "Мемориал"</t>
  </si>
  <si>
    <t>Дубовик Гавриил Игнатьевич
Родился в 1859 г., д. Паледи Узденского р-на Минского окр.; белорус; образование н/начальное; крестьянин, единоличное хоз-во. Проживал: Минская обл., Копыльский р-н, д. Рулево.
Арестован 18 февраля 1930 г.
Приговорен: "тройка" 3 марта 1930 г., обв.: 72 УК БССР - А/с агитация.
Приговор: высылка Реабилитирован 17 июля 1989 г. Прокуратура БССР
Источник: Белорусский "Мемориал"</t>
  </si>
  <si>
    <t>Дубовик Дмитрий Игнатьевич
Родился в 1887 г., д. Чепели Слуцкого р-на Минской обл.; белорус; образование н/начальное; колхозник, К-з"Луч Коммуны". Проживал: Минская обл., Старобинский р-н, д. Чепели.
Арестован 19 сентября 1937 г.
Приговорен: Комиссия НКВД СССР и Прокурора СССР 3 января 1938 г., обв.: 68 УК БССР - агент польской разведки.
Приговор: ВМН Расстрелян 23 января 1938 г. Место захоронения - Слуцк. Реабилитирован 24 августа 1959 г. Военный трибунал БВО
Источник: Белорусский "Мемориал"</t>
  </si>
  <si>
    <t>Дубовик Иван Семенович
Родился  в д. Слобода Пырашевского с/с Узденского р-на Минской обл.; белорус; образование начальное; кассир, Узденское отд.госбанка. Проживал: Минская обл., Узденский р-н, м. Узда, ул. Пролетарская 10.
Арестован 18 ноября 1937 г.
Приговорен: "тройка" 2 декабря 1937 г., обв.: 72 УК БССР - дезертир, сотоял в банде, а/с агитация.
Приговор: 10 лет ИТЛ, отбыв.: г.Улан-Удэ Южлага Реабилитирован 9 февраля 1940 г. НКВД БССР
Источник: Белорусский "Мемориал"</t>
  </si>
  <si>
    <t>Дубовик Иван Тимофеевич
Родился в 1880 г., д. Старая Морочь Узденского р-на Минского округа; белорус; образование н/начальное; крестьянин, единоличное хоз-во. Проживал: Минская обл., Пуховичский р-н, х. Ковалевичи.
Арестован 1 февраля 1930 г.
Приговорен: "тройка" 25 апреля 1930 г., обв.: 72 УК БССР - А/с агитация.
Приговор: 3 мес. ИТЛ (условно), освоб. 12.05.1930 Реабилитирован 26 декабря 1989 г. Прокуратура Минской обл.
Источник: Белорусский "Мемориал"</t>
  </si>
  <si>
    <t>Дубовик Иосиф Денисович
Родился 04.04.1881, д. Старые Марги Узденского р-на Минской обл.; белорус; образование н/начальное; колхозник, Колхоз "Ленинский шлях". Проживал: Минская обл., Пуховичский р-н, д. Пруцк.
Арестован 7 августа 1937 г.
Приговорен: "тройка" 22 сентября 1937 г., обв.: 72 УК БССР - А/с агитация.
Приговор: 10 лет ИТЛ, отбыв.: Сиблаг, Кемеровская обл., умер 16.05.1942, в ИТЛ Реабилитирован 19 сентября 1958 г. Суд.коллегия Верх.суда БССР
Источник: Белорусский "Мемориал"</t>
  </si>
  <si>
    <t>Дубовик Иосиф Ефимович
Родился 12.1883, ж/д будка №505 при ст. Фаниполь; белорус; образование н/начальное; безработный, Безработный. Проживал: Минская обл., Минский р-н, перегон Фаниполь будка 505.
Арестован 22 августа 1937 г.
Приговорен: Комиссия НКВД СССР и Прокурора СССР 20 ноября 1937 г., обв.: 58-6 УК РСФСР - агент польской разведки.
Приговор: ВМН Расстрелян 3 декабря 1937 г. Место захоронения - Смоленск. Реабилитирован 2 декабря 1957 г. Военный трибунал БВО
Источник: Белорусский "Мемориал"</t>
  </si>
  <si>
    <t>Дубовик Иосиф Игнатьевич
Родился в 1895 г., Белоруссия, Уздянский р-н, Шевнянский с/с; Проживал: Белоруссия, Уздянский р-н, Шевнянский с/с.
Приговорен: , обв.: на основании Постановления СНК и ЦИК от 01.02.1930 г..
Приговор: Выслан, м.с/п: п.Усть-Нем, Усть-Куломский р-н, Коми АССР.
Источник: Книга памяти Республики Коми</t>
  </si>
  <si>
    <t>Дубовик Леопольд Антонович
Родился в 1890 г., д. Толкачевщина Дзержинского р-на Минской обл.; белорус; образование начальное; грузчик, дереобрабатывающий комбинат. Проживал: Могилевская обл., Бобруйск.
Арестован 3 июля 1938 г.
Приговорен: "тройка" 13 ноября 1938 г., обв.: 68 - Шпионаж.
Приговор: ВМН Расстрелян 29 ноября 1938 г. Реабилитирован 4 сентября 1958 г. Военным трибуналом БВО
Источник: Белорусский "Мемориал"</t>
  </si>
  <si>
    <t>Дубовик Мария Иосифовна
Родилась в 1920 г. Проживала: Белоруссия, Уздянский р-н, Шевнянский с/с.
Приговорена: , обв.: на основании Постановления СНК и ЦИК от 01.02.1930 г..
Приговор: Выслана, м.с/п: п.Усть-Нем, Усть-Куломский р-н, Коми АССР.
Источник: Книга памяти Республики Коми</t>
  </si>
  <si>
    <t>Дубовик Мария Петровна
Родилась 12.04.1894, д. Самохваловичи Минского р-на; белоруска; образование начальное; техничка, Детский дом. Проживала: Минская обл., Минский р-н, д. Заречная слобода.
Арестована 10 июня 1938 г.
Приговорена: ОСО 15 августа 1939 г., обв.: 24-68 УК БССР - содействие польским агентам.
Приговор: 8 лет ИТЛ, отбыв.: Карлаг, г.Караганда, освоб. 07.08.1946 Реабилитирована 31 мая 1989 г. Военная прокуратура БВО
Источник: Белорусский "Мемориал"</t>
  </si>
  <si>
    <t>Дубовик Матвей Федорович
Родился в 1891 г., д. Старево Слуцкого р-на Минской обл.; белорус; образование н/начальное; председатель, К-з"2 пятилетка". Проживал: Минская обл., Слуцкий р-н, д. Старево.
Арестован 24 июня 1937 г.
Приговорен: Комиссия НКВД СССР и Прокурора СССР 14 октября 1937 г., обв.: 64, 71, 76 УК БССР - член к/р орг-ции, вред-во.
Приговор: ВМН Расстрелян 24 октября 1937 г. Место захоронения - Слуцк. Реабилитирован 23 февраля 1959 г. Суд.коллегия по уг.д.ВС БССР
Источник: Белорусский "Мемориал"</t>
  </si>
  <si>
    <t>Дубовик Михаил Андреевич
Родился в 1886 г., д. Паледза, Узденский р-н, Минская обл., БССР; белорус; Проживал: п. Лобырь, Чердынский р-н, Пермская обл..
Арестован 6 августа 1937 г.
Приговорен: 17 сентября 1937 г., обв.: к.-р., повстанец, терр..
Приговор: ВМН, конфискация имущества Расстрелян 22 сентября 1937 г.
Источник: Книга памяти Пермской обл.</t>
  </si>
  <si>
    <t>Дубовик Михаил Васильевич
Родился 17.12.1899, д. Слабодка Слуцкого уезда; белорус; образование начальное; счетовод, Колхоз "8 Сакавика". Проживал: Минская обл., Гресский р-н, д. Слабодка.
Арестован 7 декабря 1937 г.
Приговорен: Комиссия НКВД СССР и Прокурора СССР 3 января 1938 г., обв.: 68 УК БССР - аген т польской разведки.
Приговор: ВМН Расстрелян 23 января 1938 г. Место захоронения - Слуцк. Реабилитирован 12 ноября 1959 г. Военный трибунал БВО
Источник: Белорусский "Мемориал"</t>
  </si>
  <si>
    <t>Дубовик Михаил Ефимович
Родился в 1902 г., д. Буде-Гресское, Гресский р-н, БССР; белорус; Проживал: п. Красновишерск, Чердынский р-н, Пермская обл..
Арестован 3 января 1938 г.
Приговорен: 17 января 1939 г.
Приговор: Дело прекращено за отсутствием состава преступления. Освобожден
Источник: Книга памяти Пермской обл.</t>
  </si>
  <si>
    <t>Дубовик Михаил Леонтьевич
Родился в 1905 г., д. Скориничи Минского р-на и обл.; белорус; образование начальное; плотник, Совхоз Сенница. Проживал: Минская обл., Минский р-н, д. Скориничи.
Арестован 16 марта 1934 г.
Приговорен: "тройка" 26 марта 1934 г., обв.: 72, 76 УК БССР - А/с деятельность.
Приговор: 3 года высылки Реабилитирован 22 мая 1963 г. Минский облсуд
Источник: Белорусский "Мемориал"</t>
  </si>
  <si>
    <t>Дубовик Павел Николаевич
Родился  в д. Гресск Минского округа; белорус; образование н/начальное; крестьянин, единоличное хоз-во. Проживал: Минская обл., Гресский р-н, м. Гресск.
Арестован 10 декабря 1929 г.
Приговорен: "тройка" 20 января 1930 г., обв.: 58-10 УК РСФСР - А/с агитация.
Приговор: 3 года ссылки, отбыв.: г.Архангельск Реабилитирован 16 июня 1989 г. Прокуратура Минской обл.
Источник: Белорусский "Мемориал"</t>
  </si>
  <si>
    <t>Дубовик Петр Иосифович
Родился в 1921 г. Проживал: Белоруссия, Уздянский р-н, Шевнянский с/с.
Приговорен: , обв.: на основании Постановления СНК и ЦИК от 01.02.1930 г..
Приговор: Выслан, м.с/п: п.Усть-Нем, Усть-Куломский р-н, Коми АССР.
Источник: Книга памяти Республики Коми</t>
  </si>
  <si>
    <t>Дубовик Семен Дмитриевич
Родился в 1880 г., д. Белая Лужа Гацуковского с/с Гресского р-на Минского окр.; белорус; образование н/начальное; крестьянин, единоличное хоз-во. Проживал: Минская обл., Гресский р-н, д. Белая Лужа.
Арестован 9 апреля 1930 г.
Приговорен: "тройка" 18 апреля 1930 г., обв.: 76 УК БССР - А/с агитация.
Приговор: высылка Реабилитирован 30 июля 1989 г. Прокуратура Минск.обл.
Источник: Белорусский "Мемориал"</t>
  </si>
  <si>
    <t>Дубовик Семен Семенович
Родился в 1896 г., д. Слобода Пырашевского с/с Узденского р-на Минской обл.; белорус; образование н/начальное; колхозник, Колхоз "Полымя". Проживал: Минская обл., Узденский р-н, д. Слобода.
Арестован 18 декабря 1937 г.
Приговорен: "тройка" 2 декабря 1937 г., обв.: 72 УК БССР - дезертир, сотоял в банде, а/с агитация.
Приговор: 10 лет ИТЛ, отбыв.: г.Рыбинск, Волголаг НКВД СССР Реабилитирован 9 февраля 1940 г. НКВД БССР
Источник: Белорусский "Мемориал"</t>
  </si>
  <si>
    <t>Дубовик Степан Данилович
Родился 12.03.1897, д. Островск б. Слуцкого уезда Минской губ.; белорус; образование начальное; колхозник, Д.Островск. Проживал: Минская обл., Гресский р-н, д. Островск.
Арестован 23 августа 1937 г.
Приговорен: "тройка" 10 октября 1937 г., обв.: 72 УК БССР - а/с агитация, укрывательство иностр.шпиона.
Приговор: ВМН, конфискация имущества Расстрелян 18 октября 1937 г. Место захоронения - Слуцк. Реабилитирован 27 июля 1959 г. Военный трибунал БВО
Источник: Белорусский "Мемориал"</t>
  </si>
  <si>
    <t>Дубовик Степан Данилович
Родился в 1897 г., д. Островок Минской губ.; белорус; образование н/начальное; колхозник, Колхоз. Проживал: Минская обл., Копыльский р-н, д. Островок.
Арестован 17 марта 1933 г.
Приговорен: "тройка" 13 мая 1933 г., обв.: 24, 68 УК БССР - агент польской разведки.
Приговор: 3 года ИТЛ (условно) Реабилитирован 31 мая 1989 г. Прокуратура БВО
Источник: Белорусский "Мемориал"</t>
  </si>
  <si>
    <t>Дубовик Федор Прокофьевич
Родился в 1913 г., д. Селище Слуцкого р-на Бобруйской обл.; белорус; образование начальное; объездчик, Хворостовское лесничество. Проживал: Брестская обл., Ленинский р-н, х. Вейно.
Арестован 2 ноября 1950 г.
Приговорен: судебный орган 12 января 1951 г., обв.: 24, 63-1 УК БССР - недонесение властям.
Приговор: 25лет ИТЛ, 5л п/п, замена на 5л ИТЛ, 2гп/п, конфискация имущества, отбыв.: Ухтоижемлаг Коми АССР, освоб. 02.11.1955 Реабилитирован 31 марта 1993 г. Президиум Брест.облсуда
Источник: Белорусский "Мемориал"</t>
  </si>
  <si>
    <t>Дубовик Федор Филиппович
Родился в 1873 г., х. Чешинский Остров Узденского р-на Минской обл.; белорус; неграмотный; крестьянин, Личное хозяйство. Проживал: Минская обл., Узденский р-н, х. Чешинский Остров.
Арестован 23 ноября 1929 г.
Приговорен: ОСО 15 декабря 1929 г., обв.: 72 УК БССР - А/с агитация.
Приговор: 3 года ссылки Реабилитирован 28 февраля 1992 г. Прокуратура РБ
Источник: Белорусский "Мемориал"</t>
  </si>
  <si>
    <t>Дубовик Федор Яковлевич
Родился в 1886 г., Белоруссия, Минская обл., Слутский уезд, м. Песочное; белорус; кустарь-одиночка. Проживал: г. Якутск.
Арестован 30 апреля 1938 г.
Приговорен: Особое совещание при НКВД ЯАССР 5 января 1940 г., обв.: ст.58-10 УК РСФСР.
Приговор: 3 года ИТЛ Реабилитирован 17 мая 1989 г. Прокуратура ЯАССР Указ ПВС СССР от 16.01.89
Источник: Книга памяти Республики Саха (Якутия)</t>
  </si>
  <si>
    <t>Дубовик Хрисанф Иванович
Родился в 1876 г., з. Пасечка Узденского р-на Минского окр.; белорус; неграмотный; крестьянин, единоличное хоз-во. Проживал: Минская обл., Узденский р-н, п. Чешино.
Арестован 22 октября 1929 г.
Приговорен: ОСО 20 ноября 1929 г., обв.: 58-10, 13 УК РСФСР - а/с агитация.
Приговор: 3 года ИТЛ Реабилитирован 6 апреля 1992 г. Прокуратура Минск.обл.
Источник: Белорусский "Мемориал"</t>
  </si>
  <si>
    <t>Дубовик Яков Степанович
Родился в 1886 г., д. Кухтицы Узденского р-на МИнской обл.; белорус; образование н/начальное; бригадир, Колхоз ""Октябрьская революция"". Проживал: Минская обл., Минский р-н, д. Витьковщина.
Арестован 20 ноября 1937 г.
Приговорен: ""тройка"" 30 ноября 1937 г., обв.: 72 УК БССР - А/с агитация.
Приговор: 10 лет ИТЛ Реабилитирован 21 апреля 1989 г. Прокуратура БССР
Источник: Белорусский "Мемориал"</t>
  </si>
  <si>
    <t>Район</t>
  </si>
  <si>
    <t>Буда</t>
  </si>
  <si>
    <t>Толкачевщина</t>
  </si>
  <si>
    <t>Добриновский</t>
  </si>
  <si>
    <t>Сутки</t>
  </si>
  <si>
    <t>Узденский</t>
  </si>
  <si>
    <t>Гресск</t>
  </si>
  <si>
    <t>Копыльский</t>
  </si>
  <si>
    <t>Дзержинский</t>
  </si>
  <si>
    <t>Евсеевичи</t>
  </si>
  <si>
    <t>Чертен</t>
  </si>
  <si>
    <t>Воробьево</t>
  </si>
  <si>
    <t>Озерцы</t>
  </si>
  <si>
    <t>Буде-Гресское</t>
  </si>
  <si>
    <t>Белая Лужа</t>
  </si>
  <si>
    <t>Островск</t>
  </si>
  <si>
    <t>Островок</t>
  </si>
  <si>
    <t>Селище</t>
  </si>
  <si>
    <t>Слобода</t>
  </si>
  <si>
    <t>Паледи</t>
  </si>
  <si>
    <t>Старая Морочь</t>
  </si>
  <si>
    <t>Старые Марги</t>
  </si>
  <si>
    <t>Чешинский Остров</t>
  </si>
  <si>
    <t>Пасечка</t>
  </si>
  <si>
    <t>Кухтицы</t>
  </si>
  <si>
    <t>Добриново</t>
  </si>
  <si>
    <t>Забелы</t>
  </si>
  <si>
    <t>Новинки</t>
  </si>
  <si>
    <t>Немча</t>
  </si>
  <si>
    <t>Чепели</t>
  </si>
  <si>
    <t>Дубовик Александр Павлович
Родился в 1896 г., д. Новая Дубрава Старобинского р-на БССР; белорус; образование н/начальное; лесник, Листопадовское ЛПХ. Проживал: Минская обл., Старобинский р-н, д. Новая дубрава.
Арестован 24 августа 1937 г.
Приговорен: Комиссия НКВД СССР и Прокурора СССР 17 декабря 1937 г., обв.: 68 УК БССР - шпионаж.
Приговор: ВМН Расстрелян 21 января 1938 г. Место захоронения - Слуцк. Реабилитирован 30 апреля 1989 г. Прокуратура БВО
Источник: Белорусский "Мемориал"</t>
  </si>
  <si>
    <t>Старобинский</t>
  </si>
  <si>
    <t>Дубовик Виктор Антонович
Родился в 1907 г., х. Н. Дуброво Старобинского р-на; белорус; образование начальное; плотник, Ганцев.леспромхоз. Проживал: Брестская обл., Ганцевичский р-н, д. Любашево.
Арестован 30 апреля 1940 г.
Приговорен: ОСО 24 декабря 1940 г., обв.: 120, 68, 74, 72 УК БССР - агент польской полиции.
Приговор: 8 лет ИТЛ, отбыв.: Унжлаг Реабилитирован 31 мая 1989 г. УКГБ и Прокуратура Брест.обл.
Источник: Белорусский "Мемориал"</t>
  </si>
  <si>
    <t>Н. Дуброво</t>
  </si>
  <si>
    <t>Дубовик Иван Игнатьевич
Родился в 1903 г., д. Чепели Старобинского р-на Минской обл.; белорус; образование начальное; колхозник, Колхоз. Проживал: Минская обл., Старобинский р-н, д. Чепели.
Арестован 23 августа 1937 г.
Приговорен: Комиссия НКВД СССР и Прокурора СССР 17 декабря 1937 г., обв.: 68, 69 УК БССР - шпионаж в пользу польской разведки.
Приговор: ВМН Расстрелян 21 января 1938 г. Место захоронения - Слуцк. Реабилитирован 9 апреля 1963 г. Военный трибунал БВО
Источник: Белорусский "Мемориал"</t>
  </si>
  <si>
    <t>Новая Дубрава</t>
  </si>
  <si>
    <t>Слабодка</t>
  </si>
  <si>
    <t>Старево</t>
  </si>
  <si>
    <t>Самохваловичи</t>
  </si>
  <si>
    <t>Место прож.</t>
  </si>
  <si>
    <t>Заречная слобода</t>
  </si>
  <si>
    <t>Бобруйск</t>
  </si>
  <si>
    <t>Ясенево</t>
  </si>
  <si>
    <t>Засмужье</t>
  </si>
  <si>
    <t>Любанский</t>
  </si>
  <si>
    <t>Богдановщина</t>
  </si>
  <si>
    <t>Скориничи</t>
  </si>
  <si>
    <t>Якутск</t>
  </si>
  <si>
    <t>Песочное</t>
  </si>
  <si>
    <t>Красное</t>
  </si>
  <si>
    <t>Витьковщина</t>
  </si>
  <si>
    <t>Чешино</t>
  </si>
  <si>
    <t>Лобырь</t>
  </si>
  <si>
    <t>(рос)</t>
  </si>
  <si>
    <t>Пуховичский</t>
  </si>
  <si>
    <t>Пруцк</t>
  </si>
  <si>
    <t>Ковалевичи</t>
  </si>
  <si>
    <t>Узда</t>
  </si>
  <si>
    <t>Рулево</t>
  </si>
  <si>
    <t>Шевнянский с/с</t>
  </si>
  <si>
    <t>Вейно</t>
  </si>
  <si>
    <t>Красновишерск</t>
  </si>
  <si>
    <t>Кошице</t>
  </si>
  <si>
    <t>Любашево</t>
  </si>
  <si>
    <t>Ганцевичский, Бр. обл.</t>
  </si>
  <si>
    <t>Ленинский, Бр. обл.</t>
  </si>
  <si>
    <t>https://t.me/ArchiveVed</t>
  </si>
  <si>
    <t>https://t.me/pamyatbelarus</t>
  </si>
  <si>
    <t>Александрович</t>
  </si>
  <si>
    <t xml:space="preserve">Островск </t>
  </si>
  <si>
    <t>https://nkvd.memo.ru/index.php/%D0%94%D1%83%D0%B1%D0%BE%D0%B2%D0%B8%D0%BA,_%D0%98%D0%B2%D0%B0%D0%BD_%D0%90%D0%BB%D0%B5%D0%BA%D1%81%D0%B0%D0%BD%D0%B4%D1%80%D0%BE%D0%B2%D0%B8%D1%87
https://base.memo.ru/person/show/2577043</t>
  </si>
  <si>
    <t xml:space="preserve">Александр </t>
  </si>
  <si>
    <t>09.09.1911</t>
  </si>
  <si>
    <t>Михайловские углы</t>
  </si>
  <si>
    <t>https://nkvd.memo.ru/index.php/%D0%94%D1%83%D0%B1%D0%BE%D0%B2%D0%B8%D0%BA,_%D0%90%D0%BB%D0%B5%D0%BA%D1%81%D0%B0%D0%BD%D0%B4%D1%80_%D0%98%D0%BE%D1%81%D0%B8%D1%84%D0%BE%D0%B2%D0%B8%D1%87</t>
  </si>
  <si>
    <t>https://memory.mil.by/poisk-pogibshikh/57748/</t>
  </si>
  <si>
    <t>Николай</t>
  </si>
  <si>
    <t>02.1944</t>
  </si>
  <si>
    <t>1914</t>
  </si>
  <si>
    <t>https://memory.mil.by/poisk-pogibshikh/885800/</t>
  </si>
  <si>
    <t>1920</t>
  </si>
  <si>
    <t>Осечено</t>
  </si>
  <si>
    <t xml:space="preserve">Владимир </t>
  </si>
  <si>
    <t>Гаврилович</t>
  </si>
  <si>
    <t>08.03.1945</t>
  </si>
  <si>
    <t>Михаил</t>
  </si>
  <si>
    <t xml:space="preserve">1928 </t>
  </si>
  <si>
    <t>https://partizany.by/partisans/161327/</t>
  </si>
  <si>
    <t xml:space="preserve">Власевич </t>
  </si>
  <si>
    <t xml:space="preserve">Викентий </t>
  </si>
  <si>
    <t>1912 </t>
  </si>
  <si>
    <t>Слобода Пырешевская</t>
  </si>
  <si>
    <t xml:space="preserve">Лайков </t>
  </si>
  <si>
    <t xml:space="preserve">Константин </t>
  </si>
  <si>
    <t xml:space="preserve">1926 </t>
  </si>
  <si>
    <t xml:space="preserve">Крупский </t>
  </si>
  <si>
    <t xml:space="preserve">Дмитрий </t>
  </si>
  <si>
    <t>Андреевич</t>
  </si>
  <si>
    <t xml:space="preserve">1924 </t>
  </si>
  <si>
    <t>Хаританцы</t>
  </si>
  <si>
    <t xml:space="preserve">Холопеничский </t>
  </si>
  <si>
    <t>https://partizany.by/partisans/138955/</t>
  </si>
  <si>
    <t>1955-57</t>
  </si>
  <si>
    <t>Вертниковский сельсовет</t>
  </si>
  <si>
    <t>Фонд</t>
  </si>
  <si>
    <t>Опись</t>
  </si>
  <si>
    <t>Дело</t>
  </si>
  <si>
    <t>НАРБ</t>
  </si>
  <si>
    <t>Даты</t>
  </si>
  <si>
    <t xml:space="preserve">Личные листки опроса населения за 1926 год  (ф.-1)  </t>
  </si>
  <si>
    <t>Поселенные списки домохозяев за 1926 год</t>
  </si>
  <si>
    <t>Списки крестьянских хозяйств и сведения об их состоянии по состоянию на 1 января 1925 г.</t>
  </si>
  <si>
    <t>1926</t>
  </si>
  <si>
    <t>6428-6429</t>
  </si>
  <si>
    <t xml:space="preserve">Ведомости учащихся школ социального воспитания по Всесоюзной школьной переписи 15 декабря 1927 г. </t>
  </si>
  <si>
    <t>1927</t>
  </si>
  <si>
    <t>5197</t>
  </si>
  <si>
    <t>5198</t>
  </si>
  <si>
    <t>НИАБ</t>
  </si>
  <si>
    <t>Карточки сплошного обследования хозяйств крестьянского типа (ф.№2)</t>
  </si>
  <si>
    <t>Карточки сплошного обследования частновладельческих хозяйств (ф.№4)</t>
  </si>
  <si>
    <t>Гресская волость</t>
  </si>
  <si>
    <t>325</t>
  </si>
  <si>
    <t>2</t>
  </si>
  <si>
    <t>483</t>
  </si>
  <si>
    <t>484</t>
  </si>
  <si>
    <t>1916</t>
  </si>
  <si>
    <t>Подворные карточки сплошного обследования сельских хозяйств (ф.№1)</t>
  </si>
  <si>
    <t>Общинные бланки обследования сельских хозяйств (ф.№2)</t>
  </si>
  <si>
    <t>Выборки из поземельных сводов уездных земских управ о распределены земли по угодьям (ф.№3)</t>
  </si>
  <si>
    <t>1917</t>
  </si>
  <si>
    <t>959</t>
  </si>
  <si>
    <t>960</t>
  </si>
  <si>
    <t>961</t>
  </si>
  <si>
    <t>962</t>
  </si>
  <si>
    <t>Листов</t>
  </si>
  <si>
    <t>188</t>
  </si>
  <si>
    <t>29</t>
  </si>
  <si>
    <t>Логишинская волость</t>
  </si>
  <si>
    <t>393</t>
  </si>
  <si>
    <t>54</t>
  </si>
  <si>
    <t>530</t>
  </si>
  <si>
    <t>41</t>
  </si>
  <si>
    <t>39</t>
  </si>
  <si>
    <t>203</t>
  </si>
  <si>
    <t>809</t>
  </si>
  <si>
    <t>810</t>
  </si>
  <si>
    <t>811</t>
  </si>
  <si>
    <t>812</t>
  </si>
  <si>
    <t>813</t>
  </si>
  <si>
    <t>814</t>
  </si>
  <si>
    <t>Старосельская волость</t>
  </si>
  <si>
    <t>Выборки из поземельных сводов уездных земских управ о распределении земли по угодьям (ф.№3)</t>
  </si>
  <si>
    <t>301</t>
  </si>
  <si>
    <t>302</t>
  </si>
  <si>
    <t>110</t>
  </si>
  <si>
    <t>21</t>
  </si>
  <si>
    <t>60</t>
  </si>
  <si>
    <t>Минский уезд</t>
  </si>
  <si>
    <t xml:space="preserve">Слуцкий уезд </t>
  </si>
  <si>
    <t>Пинский уезд</t>
  </si>
  <si>
    <t>90</t>
  </si>
  <si>
    <t>Похозяйственные книги</t>
  </si>
  <si>
    <t>1955-1957</t>
  </si>
  <si>
    <t>3425</t>
  </si>
  <si>
    <t>10</t>
  </si>
  <si>
    <t>Дзержинский р-н</t>
  </si>
  <si>
    <t>1944-1946, 1952-1954</t>
  </si>
  <si>
    <t>2529</t>
  </si>
  <si>
    <t>3</t>
  </si>
  <si>
    <t>3,4,32</t>
  </si>
  <si>
    <t>1862-1918</t>
  </si>
  <si>
    <t>Выписки из метрических книг, свидетельств о рождении, бракосочетании и смерти граждан уезда</t>
  </si>
  <si>
    <t>2001</t>
  </si>
  <si>
    <t>4</t>
  </si>
  <si>
    <t>1</t>
  </si>
  <si>
    <t>Удостоверения личности, свидетельства о рождении, браке, смерти жителей воеводства</t>
  </si>
  <si>
    <t>Полесское воеводство</t>
  </si>
  <si>
    <t>628, 632, 635</t>
  </si>
  <si>
    <t>Списки землевладельцев воеводства</t>
  </si>
  <si>
    <t>50</t>
  </si>
  <si>
    <t>30</t>
  </si>
  <si>
    <t>Лицевые счета землевладельцев воеводства</t>
  </si>
  <si>
    <t>1928</t>
  </si>
  <si>
    <t>662</t>
  </si>
  <si>
    <t>Дела о восстановлении свидетельств о рождении и внесении поправок в них прихожан Полесской православной епархии</t>
  </si>
  <si>
    <t>2059</t>
  </si>
  <si>
    <t>3-4</t>
  </si>
  <si>
    <t>Списки и анкеты призывников воеводства</t>
  </si>
  <si>
    <t>1930-1939</t>
  </si>
  <si>
    <t>1921-1939</t>
  </si>
  <si>
    <t>1925-1933</t>
  </si>
  <si>
    <t>1808, 2588, 2589, 2686, 2761-2764, 2997, 3076, 3078</t>
  </si>
  <si>
    <t>220, 1776, 1968, 2667, 2668, 4222а, 5998-6006</t>
  </si>
  <si>
    <t>900-903, 905-906, 908-909, 912</t>
  </si>
  <si>
    <t>3133-3142</t>
  </si>
  <si>
    <t>173,204,242,541,614,660, 716-718,746,747,784, 834-839,988, 1277-1278</t>
  </si>
  <si>
    <t>1547-1585, 2371, 2373-2843</t>
  </si>
  <si>
    <t>-</t>
  </si>
  <si>
    <t>870, 872</t>
  </si>
  <si>
    <t>Пинский повет</t>
  </si>
  <si>
    <t>800, 4532</t>
  </si>
  <si>
    <t>Списки военнообязанных жителей гмины</t>
  </si>
  <si>
    <t>1923</t>
  </si>
  <si>
    <t>2079</t>
  </si>
  <si>
    <t>7</t>
  </si>
  <si>
    <t>12</t>
  </si>
  <si>
    <t>Списки призывников гмины 1902 года рождения</t>
  </si>
  <si>
    <t>14</t>
  </si>
  <si>
    <t>3970, 4016, 4091, 4156, 4233, 4296</t>
  </si>
  <si>
    <t>Подворные списки учета жителей гмины</t>
  </si>
  <si>
    <t>Опросные листы переписи населения гмины</t>
  </si>
  <si>
    <t>1931</t>
  </si>
  <si>
    <t>Списки землевладельцев гмины</t>
  </si>
  <si>
    <t>1935</t>
  </si>
  <si>
    <t>2126</t>
  </si>
  <si>
    <t>894</t>
  </si>
  <si>
    <t>Минская губерния</t>
  </si>
  <si>
    <t>Выписки из метрических книг, свидетельств о рождении, бракосочетании и смерти граждан повета</t>
  </si>
  <si>
    <t>2080</t>
  </si>
  <si>
    <t>Личные дела военнообязанных</t>
  </si>
  <si>
    <t xml:space="preserve">Личные дела военнослужащих запаса	</t>
  </si>
  <si>
    <t>6</t>
  </si>
  <si>
    <t>Списки призывников 1882-1884, 1888-1910, 1912 года рождения</t>
  </si>
  <si>
    <t>26, 30</t>
  </si>
  <si>
    <t>Дела о выдаче паспортов жителям повета</t>
  </si>
  <si>
    <t>2724, 2807</t>
  </si>
  <si>
    <t>Списки военнослужащих запаса 1868-1901 года рождения</t>
  </si>
  <si>
    <t>Списки жителей повета</t>
  </si>
  <si>
    <t>1328, 1770а</t>
  </si>
  <si>
    <t>Списки призывников-жителей повета</t>
  </si>
  <si>
    <t>67</t>
  </si>
  <si>
    <t>Анкеты военнообязанных жителей повета</t>
  </si>
  <si>
    <t>28</t>
  </si>
  <si>
    <t>Списки налогоплательщиков повета</t>
  </si>
  <si>
    <t>1933</t>
  </si>
  <si>
    <t>2730, 2907</t>
  </si>
  <si>
    <t>1938</t>
  </si>
  <si>
    <t>363</t>
  </si>
  <si>
    <t>368</t>
  </si>
  <si>
    <t>1919-1939</t>
  </si>
  <si>
    <t>1921-1938</t>
  </si>
  <si>
    <t>255-274</t>
  </si>
  <si>
    <t>Списки призывников повета 1882-1918 годов рождения</t>
  </si>
  <si>
    <t>228, 229, 784-792, 794, 808, 855-857, 865, 867-869, 872, 873, 903, 905-909, 929, 935, 1802, 1803, 1807, 1835-1840, 1851, 4394-4396, 4433-4437, 4459-4463, 4529-4531</t>
  </si>
  <si>
    <t xml:space="preserve">1921-1939	</t>
  </si>
  <si>
    <t>66-1192</t>
  </si>
  <si>
    <t>1922-1935</t>
  </si>
  <si>
    <t>130-143, 159-163, 188-192, 197-206, 226-227</t>
  </si>
  <si>
    <t xml:space="preserve">1922-1939	</t>
  </si>
  <si>
    <t>373-397, 505а-1081, 1333-1613, 1863-1965б, 2313-2401, 2670-2717, 2971-3117, 3354-3356, 3868-3870, 5658, 5658а, 5935-5952</t>
  </si>
  <si>
    <t>1923-1925, 1927-1931, 1933-1935, 1938-1939</t>
  </si>
  <si>
    <t>193-196</t>
  </si>
  <si>
    <t>7а, 8, 25, 32, 37-38, 44, 46, 48, 60, 61</t>
  </si>
  <si>
    <t>1924-1925</t>
  </si>
  <si>
    <t>1928-1931</t>
  </si>
  <si>
    <t>663-664, 1151, 1153-1154, 1156-1158, 1425, 1470, 1474, 1476, 1477, 1478, 1482-1484, 1746, 1747, 1749, 1751, 1753-1755, 1757, 1925, 1952, 1953, 1956, 1957</t>
  </si>
  <si>
    <t>1928-1939</t>
  </si>
  <si>
    <t>Списки военнослужащих запаса-жителей повета</t>
  </si>
  <si>
    <t>Списки призывников гмины 1888-1915 годов рождения</t>
  </si>
  <si>
    <t>1922-1930, 1935</t>
  </si>
  <si>
    <t>1928, 1933-1937</t>
  </si>
  <si>
    <t>2964-2967</t>
  </si>
  <si>
    <t>2507-2514</t>
  </si>
  <si>
    <t>1-4586</t>
  </si>
  <si>
    <t>1902-1906</t>
  </si>
  <si>
    <t>1907-1911</t>
  </si>
  <si>
    <t>136</t>
  </si>
  <si>
    <t>25</t>
  </si>
  <si>
    <t>169</t>
  </si>
  <si>
    <t>170</t>
  </si>
  <si>
    <t>1906-1910</t>
  </si>
  <si>
    <t>1912-1918</t>
  </si>
  <si>
    <t>2301</t>
  </si>
  <si>
    <t>ГАБр</t>
  </si>
  <si>
    <t>ГАМн</t>
  </si>
  <si>
    <t>https://partizany.by/partisans/156512/</t>
  </si>
  <si>
    <t>https://pamyat-naroda.ru/heroes/person-hero120504495/?backurl=%2Fheroes%2F%3Fadv_search%3Dy%26last_name%3D%D0%9B%D0%B0%D0%B9%D0%BA%D0%BE%D0%B2%26place_birth%3D%D0%9A%D1%80%D1%83%D0%BF%D1%81%D0%BA%D0%B8%D0%B9%D0%9A%D1%80%D1%83%D0%BF%D1%81%D0%BA%D0%B8%D0%B9%20%D1%81%D0%B5%D0%BB%D1%8C%D1%81%D0%BA%D0%B8%D0%B9%26place_birth_parent_names%3D%D0%91%D0%B5%D0%BB%D0%BE%D1%80%D1%83%D1%81%D1%81%D0%B8%D1%8F%2C%D0%9C%D0%B8%D0%BD%D1%81%D0%BA%D0%B0%D1%8F%2C%D0%9A%D1%80%D1%83%D0%BF%D1%81%D0%BA%D0%B8%D0%B9%26place_birth_ids%3D291232%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1%26grouppersons%3D1&amp;</t>
  </si>
  <si>
    <t>Крупский р-н</t>
  </si>
  <si>
    <t>141</t>
  </si>
  <si>
    <t>31</t>
  </si>
  <si>
    <t>Списки плательщиков единого сельскохозяйственного налога</t>
  </si>
  <si>
    <t>1926-1927</t>
  </si>
  <si>
    <t>142</t>
  </si>
  <si>
    <t>83</t>
  </si>
  <si>
    <t>Личные листки по учету кадров</t>
  </si>
  <si>
    <t>1932</t>
  </si>
  <si>
    <t>Личные карточки по учету кадров</t>
  </si>
  <si>
    <t>1932-1933</t>
  </si>
  <si>
    <t>13</t>
  </si>
  <si>
    <t>23</t>
  </si>
  <si>
    <t>Списки рабочих и служащих учреждений района</t>
  </si>
  <si>
    <t>24</t>
  </si>
  <si>
    <t>567</t>
  </si>
  <si>
    <t>Личные листки по учету кадров и заявления граждан о приеме на работу</t>
  </si>
  <si>
    <t>150</t>
  </si>
  <si>
    <t>9</t>
  </si>
  <si>
    <t>Списки хозяйств Готовинского, Старосельского и др. сельсоветов района, подлежащих индивидуальному обложению за 1929 г.</t>
  </si>
  <si>
    <t>1929</t>
  </si>
  <si>
    <t>61</t>
  </si>
  <si>
    <t>19</t>
  </si>
  <si>
    <t>Заславский р-н</t>
  </si>
  <si>
    <t>Старосельский с-с</t>
  </si>
  <si>
    <t>(46) 65</t>
  </si>
  <si>
    <t>Заявления граждан о снятии сельскохозяйственного налога</t>
  </si>
  <si>
    <t>(47) 59</t>
  </si>
  <si>
    <t>199</t>
  </si>
  <si>
    <t>Заявления граждан о представлении им льгот по сельскохозяйственному налогу</t>
  </si>
  <si>
    <t>(48) 60</t>
  </si>
  <si>
    <t>240</t>
  </si>
  <si>
    <t>То же</t>
  </si>
  <si>
    <t>То же Старосельского с-с</t>
  </si>
  <si>
    <t>(50) 62</t>
  </si>
  <si>
    <t>139</t>
  </si>
  <si>
    <t>(52) 64</t>
  </si>
  <si>
    <t>272</t>
  </si>
  <si>
    <t>03.09.1935 - 11.10.1935</t>
  </si>
  <si>
    <t>27.07.1929 - 10.03.1930</t>
  </si>
  <si>
    <t>20.08.1929 - 17.11.1929</t>
  </si>
  <si>
    <t>20.10.1929 - 09.04.1930</t>
  </si>
  <si>
    <t>02.10.1929 - 16.03.1930</t>
  </si>
  <si>
    <t>27.03.1930 - 02.09.1930</t>
  </si>
  <si>
    <t>(69) 92</t>
  </si>
  <si>
    <t>38</t>
  </si>
  <si>
    <t>Лицевые счета рабочих и служащих</t>
  </si>
  <si>
    <t>1-6, 8, 10</t>
  </si>
  <si>
    <t>1947-1959</t>
  </si>
  <si>
    <t>Ведомости на выдачу заработной платы рабочим и служащим</t>
  </si>
  <si>
    <t>1957-1959</t>
  </si>
  <si>
    <t>7, 9, 11</t>
  </si>
  <si>
    <t>Слуцкий округ</t>
  </si>
  <si>
    <t>Заявления граждан о приеме на работу, переводе на другую должность и освобождении от занимаемой должности</t>
  </si>
  <si>
    <t>Минский округ</t>
  </si>
  <si>
    <t>05.01.1929 - 06.02.1930</t>
  </si>
  <si>
    <t>27</t>
  </si>
  <si>
    <t>234</t>
  </si>
  <si>
    <t>Филипп</t>
  </si>
  <si>
    <t>Григорьевич</t>
  </si>
  <si>
    <t>Филиппович</t>
  </si>
  <si>
    <t>Буловицкая</t>
  </si>
  <si>
    <t>Нина</t>
  </si>
  <si>
    <t>Устиновна</t>
  </si>
  <si>
    <t>Буловицкий</t>
  </si>
  <si>
    <t>Эстонская ССР, Таллинн, Ластикоду 22-104</t>
  </si>
  <si>
    <t>Сиврук</t>
  </si>
  <si>
    <t>Вера</t>
  </si>
  <si>
    <t>Левошко</t>
  </si>
  <si>
    <t>Тамара</t>
  </si>
  <si>
    <t>Евгений (Женя)</t>
  </si>
  <si>
    <t>Константин (Костя)</t>
  </si>
  <si>
    <t>8</t>
  </si>
  <si>
    <t>1781</t>
  </si>
  <si>
    <t>49</t>
  </si>
  <si>
    <t>164</t>
  </si>
  <si>
    <t>165</t>
  </si>
  <si>
    <t>до 1863</t>
  </si>
  <si>
    <t>Раков</t>
  </si>
  <si>
    <t>костел построен в 1906</t>
  </si>
  <si>
    <t>Крестьяне</t>
  </si>
  <si>
    <t>2-7, 9-12, 166, 166а, 173, 177</t>
  </si>
  <si>
    <t>333</t>
  </si>
  <si>
    <t>Мещане-христиане</t>
  </si>
  <si>
    <t>Помещичьи крестьяне</t>
  </si>
  <si>
    <t>192 (Н-С), 193 (С-Я), 195 (П-Я)</t>
  </si>
  <si>
    <t>97 (С,Т), 98 (Р), 99 (У-Я), 100 (Н-П), 101 (К-М), 102 (Г-И), 103 (А-Б)</t>
  </si>
  <si>
    <t>Государственные крестьяне</t>
  </si>
  <si>
    <t>Дворовые люди</t>
  </si>
  <si>
    <t>Однодворцы</t>
  </si>
  <si>
    <t>293 (С-Я)</t>
  </si>
  <si>
    <t>109 (Т-Я), 110, 112, 113, 116, 120, 276, 280, 283, 285, 287</t>
  </si>
  <si>
    <t>269, 276, 285</t>
  </si>
  <si>
    <t>110, 116, 269, 276</t>
  </si>
  <si>
    <t>Вольные люди и вольные хлебопашцы</t>
  </si>
  <si>
    <t>110, 112, 284, 285</t>
  </si>
  <si>
    <t>112, 114, 115 (М-Я), 119 (Д-Ж), 275 (А-Г), 277 (Т-Я), 278 (А-Л), 279 (П-Т), 281, 282 (А-П), 284, 285, 287</t>
  </si>
  <si>
    <t>112, 276, 285, 287, 973</t>
  </si>
  <si>
    <t>603 (А-В), 605 (М-П), 606 (Г-Л), 607 (Р-С), 608 (Т-Я), 610, 611, 613, 614, 615, 617</t>
  </si>
  <si>
    <t>Шляхта</t>
  </si>
  <si>
    <t>1, 3, 7, 10, 11, 12, 173, 177</t>
  </si>
  <si>
    <t>Церковные служители</t>
  </si>
  <si>
    <t>Мещане-евреи</t>
  </si>
  <si>
    <t>173, 177</t>
  </si>
  <si>
    <t>194, 196</t>
  </si>
  <si>
    <t>Евреи</t>
  </si>
  <si>
    <t>195 (П-Я)</t>
  </si>
  <si>
    <t>104, 105-108</t>
  </si>
  <si>
    <t>Цеховые</t>
  </si>
  <si>
    <t>Граждане</t>
  </si>
  <si>
    <t>112, 115 (М-Я), 278, 285, 973</t>
  </si>
  <si>
    <t>Священно- и церковнослужители</t>
  </si>
  <si>
    <t>276, 281, 287, 973, 975</t>
  </si>
  <si>
    <t>Купцы-христиане</t>
  </si>
  <si>
    <t>112, 285</t>
  </si>
  <si>
    <t>Купцы-евреи</t>
  </si>
  <si>
    <t>Старообрядцы</t>
  </si>
  <si>
    <t>110, 112</t>
  </si>
  <si>
    <t>Иностранцы</t>
  </si>
  <si>
    <t>112, 973, 974</t>
  </si>
  <si>
    <t>Люди разных сословий</t>
  </si>
  <si>
    <t>Список населенных мест</t>
  </si>
  <si>
    <t>610, 611, 613, 615, 618, 619, 620, 621, 623, 624</t>
  </si>
  <si>
    <t>Духовные крестьяне</t>
  </si>
  <si>
    <t>Подуховные крестьяне</t>
  </si>
  <si>
    <t>610, 619, 620, 621, 622, 623, 624</t>
  </si>
  <si>
    <t>Фундушевые крестьяне</t>
  </si>
  <si>
    <t>Бонифратерские крестьяне</t>
  </si>
  <si>
    <t>603, 605, 606, 607, 608, 610, 611, 613, 617, 619</t>
  </si>
  <si>
    <t>611, 613, 614, 615, 616, 619, 621, 622,  623, 624, 742</t>
  </si>
  <si>
    <t>Евреи-земледельцы</t>
  </si>
  <si>
    <t>602, 611, 614, 615</t>
  </si>
  <si>
    <t>386, 614, 615</t>
  </si>
  <si>
    <t>611, 619, 741</t>
  </si>
  <si>
    <t>620, 621, 623, 624</t>
  </si>
  <si>
    <t>609, 611-614, 615, 616</t>
  </si>
  <si>
    <t>611-614, 615</t>
  </si>
  <si>
    <t>614, 615, 741</t>
  </si>
  <si>
    <t>386, 612, 614, 615, 741</t>
  </si>
  <si>
    <t>Евреи-цеховые</t>
  </si>
  <si>
    <t>Бобыли</t>
  </si>
  <si>
    <t>Солдатки</t>
  </si>
  <si>
    <t>Колонисты</t>
  </si>
  <si>
    <t>Бродяги</t>
  </si>
  <si>
    <t>Цыгане</t>
  </si>
  <si>
    <t>963, 964 (А-В), 965 (Н-П), 966 (Р-С), 967 (Т-Я), 968, 969, 970, 972, 982 (Л-М), 983 (И-Л)</t>
  </si>
  <si>
    <t>271, 272, 273, 274, 963, 969, 970</t>
  </si>
  <si>
    <t>963, 967, 968, 969, 970, 972, 982, 983</t>
  </si>
  <si>
    <t>271, 272, 273, 274, 961, 969, 970</t>
  </si>
  <si>
    <t>271, 272, 273, 274, 961</t>
  </si>
  <si>
    <t>959, 969, 970</t>
  </si>
  <si>
    <t>272, 273, 274, 959, 969, 970</t>
  </si>
  <si>
    <t>273, 274, 968</t>
  </si>
  <si>
    <t>960, 969, 970</t>
  </si>
  <si>
    <t>962, 969, 970</t>
  </si>
  <si>
    <t>Евреи-рабочие</t>
  </si>
  <si>
    <t>Отставные солдаты</t>
  </si>
  <si>
    <t>271, 274</t>
  </si>
  <si>
    <t>274, 961</t>
  </si>
  <si>
    <t>Перепись 1925</t>
  </si>
  <si>
    <t>МК Раков рб 1918-1924, у 1918-1920</t>
  </si>
  <si>
    <t>МК Раков у</t>
  </si>
  <si>
    <t>МК Раков рбу</t>
  </si>
  <si>
    <t>1925-1931</t>
  </si>
  <si>
    <t>МК Раков р</t>
  </si>
  <si>
    <t>1870-1874</t>
  </si>
  <si>
    <t>957</t>
  </si>
  <si>
    <t>МК Раков б</t>
  </si>
  <si>
    <t>1852-1854</t>
  </si>
  <si>
    <t>937</t>
  </si>
  <si>
    <t>1834-1847</t>
  </si>
  <si>
    <t>76, 77, 78</t>
  </si>
  <si>
    <t>75</t>
  </si>
  <si>
    <t>1737</t>
  </si>
  <si>
    <t>Хрипач Астах Романович (1915)</t>
  </si>
  <si>
    <t>ttps://ru.openlist.wiki/Хрипач_Астах_Романович_(1915)</t>
  </si>
  <si>
    <t>РC по Минскому уезду:</t>
  </si>
  <si>
    <t>Колодница - православный приход Святых Апостолов Петра и Павла</t>
  </si>
  <si>
    <r>
      <t>Хаританцы, деревня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</si>
  <si>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Черейская волость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</si>
  <si>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Сенненский уезд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</si>
  <si>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Могилёвская губерния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</si>
  <si>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Борисовский округ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</si>
  <si>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Черейский район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</si>
  <si>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Заборский сельсовет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</si>
  <si>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Крупский район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</si>
  <si>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r>
      <t>Октябрьский сельсовет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</si>
  <si>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t>Федор 1925 двое детей?</t>
  </si>
  <si>
    <t>https://xn--80ado4ajn.xn--90ais/widget/list.php?PAGEN_1=599&amp;region_id=1908&amp;lang=ru&amp;host=www.dzerzhinsk.gov.by&amp;ip=66.249.64.226</t>
  </si>
  <si>
    <t>Поусье, 1920</t>
  </si>
  <si>
    <t>Уласевич (Улаевич) Фадей 1913, Толкачевщина</t>
  </si>
  <si>
    <t>санинструктор, старшина медслужбы</t>
  </si>
  <si>
    <t>1944-54</t>
  </si>
  <si>
    <t>Бобруйская область</t>
  </si>
  <si>
    <t>1478</t>
  </si>
  <si>
    <t>Статистические сведения о денежном приходе и расходе в индивидуальных крестьянских хозяйствах за 1927-1928 гг.</t>
  </si>
  <si>
    <t>2966</t>
  </si>
  <si>
    <t>2967</t>
  </si>
  <si>
    <t>2969</t>
  </si>
  <si>
    <t>5200</t>
  </si>
  <si>
    <t>Архив</t>
  </si>
  <si>
    <t>1120</t>
  </si>
  <si>
    <t>1131-1132</t>
  </si>
  <si>
    <t>1010, 1112</t>
  </si>
  <si>
    <t>1449</t>
  </si>
  <si>
    <t>5284, 5286</t>
  </si>
  <si>
    <t>Статистические сведения об учете промышленных предприятий, кустарей и ремесленников</t>
  </si>
  <si>
    <t>Черейский район упразднен в 1931</t>
  </si>
  <si>
    <t>1924-32</t>
  </si>
  <si>
    <t>Койдановский район</t>
  </si>
  <si>
    <t>д. Болюто</t>
  </si>
  <si>
    <t>тетя Нина</t>
  </si>
  <si>
    <t>И</t>
  </si>
  <si>
    <t>Галина</t>
  </si>
  <si>
    <t>г. Пикалёво, Заводская 16, кв 66</t>
  </si>
  <si>
    <t>Калининградская обл., Полесский р-н, пос. Богатово</t>
  </si>
  <si>
    <r>
      <rPr>
        <strike/>
        <sz val="11"/>
        <rFont val="Calibri"/>
        <family val="2"/>
        <charset val="204"/>
        <scheme val="minor"/>
      </rPr>
      <t>Х</t>
    </r>
    <r>
      <rPr>
        <sz val="11"/>
        <rFont val="Calibri"/>
        <family val="2"/>
        <charset val="204"/>
        <scheme val="minor"/>
      </rPr>
      <t xml:space="preserve"> Августинская</t>
    </r>
  </si>
  <si>
    <t>Лена</t>
  </si>
  <si>
    <t>Астаховна</t>
  </si>
  <si>
    <t>Василий</t>
  </si>
  <si>
    <t>Петр</t>
  </si>
  <si>
    <t>Александр</t>
  </si>
  <si>
    <t>Агафья</t>
  </si>
  <si>
    <t>Раиса</t>
  </si>
  <si>
    <t>К</t>
  </si>
  <si>
    <t>Зина?</t>
  </si>
  <si>
    <t>Нина (Вера)</t>
  </si>
  <si>
    <t>Михаил (Миша)</t>
  </si>
  <si>
    <t>Хри</t>
  </si>
  <si>
    <t>Брест</t>
  </si>
  <si>
    <t>Кузнечная 52-229</t>
  </si>
  <si>
    <t>Гурская</t>
  </si>
  <si>
    <t>Даша</t>
  </si>
  <si>
    <t>Вит. обл., Орш. р-н, г. Борань, Заслонова 11</t>
  </si>
  <si>
    <t>Курчов</t>
  </si>
  <si>
    <t>Валерий</t>
  </si>
  <si>
    <t>Плеханова 67-66</t>
  </si>
  <si>
    <t>45-06-49</t>
  </si>
  <si>
    <t>Федор (Федя)</t>
  </si>
  <si>
    <t>Курчова</t>
  </si>
  <si>
    <t>Полиграфический пер. 47</t>
  </si>
  <si>
    <t>Мог. обл. Кировский р-н, Жиличи</t>
  </si>
  <si>
    <t>О</t>
  </si>
  <si>
    <t>Адрес 1</t>
  </si>
  <si>
    <t>Адрес 2</t>
  </si>
  <si>
    <t>Прочее</t>
  </si>
  <si>
    <t>Сиврук (Хрипач)</t>
  </si>
  <si>
    <t>54-20-21</t>
  </si>
  <si>
    <t>Телефон 1</t>
  </si>
  <si>
    <t>Телефон 2</t>
  </si>
  <si>
    <t>48-09-51</t>
  </si>
  <si>
    <t>36-14-87</t>
  </si>
  <si>
    <t>32-77-32</t>
  </si>
  <si>
    <t>Алексеевна</t>
  </si>
  <si>
    <t>43-02-24</t>
  </si>
  <si>
    <t>45-56-10</t>
  </si>
  <si>
    <t>Хабибулин</t>
  </si>
  <si>
    <t>Олег</t>
  </si>
  <si>
    <t>Заметович</t>
  </si>
  <si>
    <t>3-64-62</t>
  </si>
  <si>
    <t>77-32-48 р</t>
  </si>
  <si>
    <t>58-3-90</t>
  </si>
  <si>
    <t>55-02-28</t>
  </si>
  <si>
    <t>Алексеевич</t>
  </si>
  <si>
    <t>Партизанский пр-т 141-12</t>
  </si>
  <si>
    <t>Партизанский пр-т 30-2-127</t>
  </si>
  <si>
    <t>пр-т Рокоссовского 77-154</t>
  </si>
  <si>
    <t>41-17-09 р</t>
  </si>
  <si>
    <t>Саша</t>
  </si>
  <si>
    <t>пр-т Правды 54-49</t>
  </si>
  <si>
    <t>пр-т Правды 22-92</t>
  </si>
  <si>
    <t>Вова</t>
  </si>
  <si>
    <t>Харьковская 80-1-31</t>
  </si>
  <si>
    <t>Гурский</t>
  </si>
  <si>
    <t>Анатолий</t>
  </si>
  <si>
    <t>Гурская (Хрипач)</t>
  </si>
  <si>
    <t>Новолукомль, Набережная 5-23</t>
  </si>
  <si>
    <t>Новолукомль, Энергетиков 4-18</t>
  </si>
  <si>
    <t>Олехнович</t>
  </si>
  <si>
    <t>Витебск, Баумана 20а-12</t>
  </si>
  <si>
    <t>Чашники, пер. Мелиоративный 2</t>
  </si>
  <si>
    <t>2-13-28</t>
  </si>
  <si>
    <t>2-09-16</t>
  </si>
  <si>
    <t>Молодечно, Строителей 1-26</t>
  </si>
  <si>
    <t>7-01-00</t>
  </si>
  <si>
    <t>Брестская обл., Брестский р-н, п/о Збиричи</t>
  </si>
  <si>
    <t>Чашники, Ленинская 93-61</t>
  </si>
  <si>
    <t>_ Лена</t>
  </si>
  <si>
    <t>Новолукомль, Набережная 25-41</t>
  </si>
  <si>
    <t>3-63-56</t>
  </si>
  <si>
    <t>3-07-71 года, 9 участок 3 ряд</t>
  </si>
  <si>
    <t>2133 2-79-58</t>
  </si>
  <si>
    <t>аптека №63</t>
  </si>
  <si>
    <t>31-04-11</t>
  </si>
  <si>
    <t>69-00-33</t>
  </si>
  <si>
    <t>51-95-20</t>
  </si>
  <si>
    <t>55-29-16</t>
  </si>
  <si>
    <t>9-23-61</t>
  </si>
  <si>
    <t>Правды 14-2-102</t>
  </si>
  <si>
    <t>70-84-29</t>
  </si>
  <si>
    <t>55-06-76</t>
  </si>
  <si>
    <t>37-98-03</t>
  </si>
  <si>
    <t>2-02-40</t>
  </si>
  <si>
    <t>Сержанович</t>
  </si>
  <si>
    <t>Сергей</t>
  </si>
  <si>
    <t>Стиклево 35</t>
  </si>
  <si>
    <t>Владимировна</t>
  </si>
  <si>
    <t>Валище, Пионерская 1</t>
  </si>
  <si>
    <t>Адрес 3</t>
  </si>
  <si>
    <t>пр-т Пушкина 55-109</t>
  </si>
  <si>
    <t>33-34-56</t>
  </si>
  <si>
    <t>пер-2 Менделеева 28</t>
  </si>
  <si>
    <t>Зина</t>
  </si>
  <si>
    <t>Брестская 72-52</t>
  </si>
  <si>
    <t>24-20-21</t>
  </si>
  <si>
    <t>Телефон 3</t>
  </si>
  <si>
    <t>М / Ив</t>
  </si>
  <si>
    <t>21-94-19</t>
  </si>
  <si>
    <t>21-90-18</t>
  </si>
  <si>
    <t>2й Пугачевский пер. 5а-44</t>
  </si>
  <si>
    <t>д. Старые Дороги</t>
  </si>
  <si>
    <t>22-32-33</t>
  </si>
  <si>
    <t>Маруся</t>
  </si>
  <si>
    <t>38-53-57</t>
  </si>
  <si>
    <t>Железнодорожная 128-3</t>
  </si>
  <si>
    <t>Попова 27-15</t>
  </si>
  <si>
    <t>Обувная 47-44</t>
  </si>
  <si>
    <t>Алтайская 133</t>
  </si>
  <si>
    <t>Минск, Ворошиловский р-н, Сельхоз. п/о 23, Новгородский пер. 4</t>
  </si>
  <si>
    <t>Старовиленский тракт 96062</t>
  </si>
  <si>
    <t>4й Полиграфический 92 п/о 45</t>
  </si>
  <si>
    <t>Волгоградская 41-3</t>
  </si>
  <si>
    <t>Бердянск, Керченская 1/4а-19</t>
  </si>
  <si>
    <t>Войсковая часть 33 449 Ш</t>
  </si>
  <si>
    <t>45-59-96</t>
  </si>
  <si>
    <t>Матусевича 9-3</t>
  </si>
  <si>
    <t>Стрелковая 6а-7</t>
  </si>
  <si>
    <t>8 2133 3-72-13</t>
  </si>
  <si>
    <t>8 2133 2-31-58</t>
  </si>
  <si>
    <t>8033 510-71-51</t>
  </si>
  <si>
    <t>8 2133 3-11-30</t>
  </si>
  <si>
    <t>4-83-05</t>
  </si>
  <si>
    <t>234-95-97</t>
  </si>
  <si>
    <t>45-06-39</t>
  </si>
  <si>
    <t>Дело по иску кр-н д. Забеллы Слуцкого у. А. Дубовика и Х. Конторовича в самовольном выпасе скота в ур. Марков Бор Шищицкой дачи</t>
  </si>
  <si>
    <t>1912-1913</t>
  </si>
  <si>
    <t>694</t>
  </si>
  <si>
    <t>4770</t>
  </si>
  <si>
    <t>2415</t>
  </si>
  <si>
    <t>1595</t>
  </si>
  <si>
    <t>1910-1911</t>
  </si>
  <si>
    <t>Дело о выкупе земли кр-ми Лешеповичем, Дубавиковым и др. в з. Забеллы кн. Радзивиллов</t>
  </si>
  <si>
    <t>План земельного участка, выкупленного разными лицами (Довнарами, Качанами, Уласевичами, Шабловским) в з. Малое Плашево</t>
  </si>
  <si>
    <t>614</t>
  </si>
  <si>
    <t>120</t>
  </si>
  <si>
    <t>702</t>
  </si>
  <si>
    <t>787</t>
  </si>
  <si>
    <t>1910</t>
  </si>
  <si>
    <t>23.07.1911</t>
  </si>
  <si>
    <t>То же Уласевичами в хут. Плашево-Горавое</t>
  </si>
  <si>
    <t>То же мещанами Уласевичами в з. Среднее Плашево</t>
  </si>
  <si>
    <t>2067</t>
  </si>
  <si>
    <t>3002</t>
  </si>
  <si>
    <t>1925</t>
  </si>
  <si>
    <t>Списки домохозяев, связывающие сельскохозяйственную перепись 1923 года с переписью 1926 года по БССР</t>
  </si>
  <si>
    <t>7613</t>
  </si>
  <si>
    <t>7614</t>
  </si>
  <si>
    <t>Списки предварительного учета землевладельцев, землепользователей и земель в БССР за 1925 год</t>
  </si>
  <si>
    <t>1605</t>
  </si>
  <si>
    <t>Статистические сведения об индивидуальных крестьянских хозяйствах Минского у. По Всероссийской сельскохозяйственной переписи 1922 года</t>
  </si>
  <si>
    <t>Минский у.</t>
  </si>
  <si>
    <t>1922</t>
  </si>
  <si>
    <t>2565-2612</t>
  </si>
  <si>
    <t>2631-2633</t>
  </si>
  <si>
    <t>Слуцкий у.</t>
  </si>
  <si>
    <t>1965</t>
  </si>
  <si>
    <t>То же по Минскому окр.</t>
  </si>
  <si>
    <t>1968</t>
  </si>
  <si>
    <t>Оршанский округ</t>
  </si>
  <si>
    <t>Сведения о бюджетном обследовании крестьянских хозяйств по округам БССР за 1924-1925 гг.</t>
  </si>
  <si>
    <t>1985-1989</t>
  </si>
  <si>
    <t>1991</t>
  </si>
  <si>
    <t>Борисовкий о.</t>
  </si>
  <si>
    <t>Слуцкий о.</t>
  </si>
  <si>
    <t>Статистические сведения о состоянии бюджетов индивидуальных крестьянских хозяйств по БССР за 1924-1925гг.</t>
  </si>
  <si>
    <t>2037-2039</t>
  </si>
  <si>
    <t>6273</t>
  </si>
  <si>
    <t>Койдановский</t>
  </si>
  <si>
    <t>Заславский</t>
  </si>
  <si>
    <t>Черейский</t>
  </si>
  <si>
    <t>Крупский</t>
  </si>
  <si>
    <t>Нарейковский с/c</t>
  </si>
  <si>
    <t>х. Плашево</t>
  </si>
  <si>
    <t>Старосельский с/с</t>
  </si>
  <si>
    <t>Дело о дворянском происхождении рода Уласевичей</t>
  </si>
  <si>
    <t>319</t>
  </si>
  <si>
    <t>3324</t>
  </si>
  <si>
    <t>19.01.1816</t>
  </si>
  <si>
    <t xml:space="preserve">187 </t>
  </si>
  <si>
    <t>06.09.1850 - 20.02.1865</t>
  </si>
  <si>
    <t>4007</t>
  </si>
  <si>
    <t>116</t>
  </si>
  <si>
    <t>Дело о дворянском происхождении рода Дубовиков</t>
  </si>
  <si>
    <t>25.11.1802</t>
  </si>
  <si>
    <t>579</t>
  </si>
  <si>
    <t>999</t>
  </si>
  <si>
    <t>Книга регистрации браков за 1920 год</t>
  </si>
  <si>
    <t>8-9</t>
  </si>
  <si>
    <t>77, 204</t>
  </si>
  <si>
    <t>Книга учета записей актов гражданского состояния за 1927 год</t>
  </si>
  <si>
    <t>108а</t>
  </si>
  <si>
    <t>Заявления граждан о выдаче свидетельства о рождении</t>
  </si>
  <si>
    <t>6201</t>
  </si>
  <si>
    <t>Ревизская сказка застенка Качановичи Слуцкого уезда, деревень Камень и Шишицы Слуцкого уезда</t>
  </si>
  <si>
    <t>1850</t>
  </si>
  <si>
    <t>2-ОЦ</t>
  </si>
  <si>
    <t>7649</t>
  </si>
  <si>
    <t>Списки крестьянских хозяйств, ведущих бюджетные записи за 1927 г.</t>
  </si>
  <si>
    <t>Списки плательщиков единого сельскохозяйственного налога по БССР за 1926 г.</t>
  </si>
  <si>
    <t>То же Полоцкого и Слуцкого округов</t>
  </si>
  <si>
    <t>То же Борисовского и Оршанского округов</t>
  </si>
  <si>
    <t>Сведения о бюджетном обследовании крестьянских хозяйств БССР за 1925-1926 гг.</t>
  </si>
  <si>
    <t>2066</t>
  </si>
  <si>
    <t>1925-1926</t>
  </si>
  <si>
    <t>То же и списки домохозяев по округам БССР за 1925 год</t>
  </si>
  <si>
    <t>v</t>
  </si>
  <si>
    <t>vv</t>
  </si>
  <si>
    <t>vx</t>
  </si>
  <si>
    <t>Алфавиты планов крестьянских наделов Минской губ. За 1925 год</t>
  </si>
  <si>
    <t>1606</t>
  </si>
  <si>
    <t>189</t>
  </si>
  <si>
    <t>324</t>
  </si>
  <si>
    <t>польский</t>
  </si>
  <si>
    <t>1932-1938</t>
  </si>
  <si>
    <t>6272</t>
  </si>
  <si>
    <t>5 х. Плашево</t>
  </si>
  <si>
    <t>6370</t>
  </si>
  <si>
    <t>6371</t>
  </si>
  <si>
    <t>6276</t>
  </si>
  <si>
    <t>6275</t>
  </si>
  <si>
    <t>6202</t>
  </si>
  <si>
    <t>1454</t>
  </si>
  <si>
    <t>1453</t>
  </si>
  <si>
    <t>6274</t>
  </si>
  <si>
    <t>Дубовский с/с</t>
  </si>
  <si>
    <t>1800-1833</t>
  </si>
  <si>
    <t>79</t>
  </si>
  <si>
    <t>Волма МК у</t>
  </si>
  <si>
    <t>Волма Копии и выписки из МК рбу</t>
  </si>
  <si>
    <t>1847-1848</t>
  </si>
  <si>
    <t>???</t>
  </si>
  <si>
    <t>Дополнительные РС</t>
  </si>
  <si>
    <t>Помещичьи крестьяне (1818, 1825-1833, 1842, 1844, 1850-1856) // НИАБ Ф.333.Оп.9.Д.290, 298, 300, 608, 616а</t>
  </si>
  <si>
    <t>Государственные  крестьяне (1818, 1833, 1850-1856, 1866) // НИАБ Ф.333.Оп.9.Д.298, 468, 616а, 757, 980</t>
  </si>
  <si>
    <t>Духовные крестьяне (1818, 1833) // НИАБ Ф.333.Оп.9.Д.298</t>
  </si>
  <si>
    <t>Дворовые люди (1818, 1825-1833, 1844, 1850-1856) // НИАБ Ф.333.Оп.9.Д.290, 298, 300, 616а</t>
  </si>
  <si>
    <t>Вольные хлебопашцы и вольные люди (1818, 1833, 1844-1856) // НИАБ Ф.333.Оп.9.Д.288, 290, 298, 616а, 1170</t>
  </si>
  <si>
    <t>Мещане-христиане (1818, 1833, 1844-1856) // НИАБ Ф.333.Оп.9.Д.288, 290, 298, 616а</t>
  </si>
  <si>
    <t>Мещане-евреи (1818-1833, 1844-1856) // НИАБ Ф.333.Оп.9.Д.288, 290, 314, 316, 616а, 976-979, 981</t>
  </si>
  <si>
    <t>Однодворцы (1842, 1844-1856) // НИАБ Ф.333.Оп.9.Д.111, 117, 118, 288, 289, 290, 443, 468, 604, 616а, 971, 1169, 1170</t>
  </si>
  <si>
    <t>Граждане (1842, 1844-1846, 1850-1856) // НИАБ Ф.333.Оп.9.Д.111, 117, 118, 290, 443, 468, 604, 971</t>
  </si>
  <si>
    <t>Колонисты (1844-1849) // НИАБ Ф.333.Оп.9.Д.288, 290</t>
  </si>
  <si>
    <t>Купцы (1844) // НИАБ Ф.333.Оп.9.Д.290</t>
  </si>
  <si>
    <t>Евреи-земледельцы (1850-1856) // НИАБ Ф.333.Оп.9.Д.616а</t>
  </si>
  <si>
    <t>Купцы-христиане (1850-1856) // НИАБ Ф.333.Оп.9.Д.616а</t>
  </si>
  <si>
    <t>Купцы-евреи (1850-1856) // НИАБ Ф.333.Оп.9.Д.616а</t>
  </si>
  <si>
    <t>Граждане (Минск) (1864-1866) // НИАБ Ф.333.Оп.9.Д.745, 746, 747, 748, 749, 753, 757, 758</t>
  </si>
  <si>
    <t>Однодворцы (Минск) (1864-1865) // НИАБ Ф.333.Оп.9.Д.750, 751</t>
  </si>
  <si>
    <t>Мещане-христиане (1864-1871, 1873-1881) // НИАБ Ф.333.Оп.9.Д.752, 754, 760, 764, 765, 766, 767, 987</t>
  </si>
  <si>
    <t>Мещане-евреи (1864-1877) // НИАБ Ф.333.Оп.9.Д.756, 757, 759, 761, 762, 763, 764, 769, 1178</t>
  </si>
  <si>
    <t>Солдаты и солдатские дети (1870-1875) // НИАБ Ф.333.Оп.9.Д.764, 768</t>
  </si>
  <si>
    <t>Мещане (1890) // НИАБ Ф.333.Оп.9.Д.1181</t>
  </si>
  <si>
    <t>Лица разных сословий (1860-1880-е) // НИАБ Ф.333.Оп.9.Д.755, 880, 1159, 1160</t>
  </si>
  <si>
    <t>Граждане (1842) // НИАБ Ф.333.Оп.9.Д.111, 112, 117</t>
  </si>
  <si>
    <t>Однодворцы (1842) // НИАБ Ф.333.Оп.9.Д.111, 112, 117, 119</t>
  </si>
  <si>
    <t>Граждане и однодворцы из бывшей шляхты (1844-1846) // НИАБ Ф.333.Оп.9.Д.118</t>
  </si>
  <si>
    <t>Однодворцы (1844-1846) // НИАБ Ф.333.Оп.9.Д.289, 1169, 1170</t>
  </si>
  <si>
    <t>Мещане-христиане (1864) // НИАБ Ф.333.Оп.9.Д.754</t>
  </si>
  <si>
    <t>Граждане (Минск) (1864) // НИАБ Ф.333.Оп.9.Д.745, 746, 747, 748, 749, 758</t>
  </si>
  <si>
    <t>Однодворцы (Минск) (1864) // НИАБ Ф.333.Оп.9.Д.750</t>
  </si>
  <si>
    <t>Мещане-христиане (1874) // НИАБ Ф.333.Оп.9.Д.764</t>
  </si>
  <si>
    <t>Переписи неутвержденной шляхты</t>
  </si>
  <si>
    <t>Были ли на войне:</t>
  </si>
  <si>
    <t>1922 (Память)</t>
  </si>
  <si>
    <t xml:space="preserve">   Федор Доминикович</t>
  </si>
  <si>
    <t xml:space="preserve">   Станислав Иосифович</t>
  </si>
  <si>
    <t xml:space="preserve">   Федор Антонович</t>
  </si>
  <si>
    <t xml:space="preserve">   Николай Дубовик</t>
  </si>
  <si>
    <t>1918-1924</t>
  </si>
  <si>
    <t>Списки домохозяев по спискам сельскохозяйственного налога и сведения о состоянии их хозяйств по Витебскому, Минскому и Могилевскому округам</t>
  </si>
  <si>
    <t>xx</t>
  </si>
  <si>
    <t>Погостская и Ленинская волости</t>
  </si>
  <si>
    <t>Предварительные списки учета землевладельцев Слуцкого окр. по данным земельной переписи 1917 года</t>
  </si>
  <si>
    <t>7597</t>
  </si>
  <si>
    <t>444</t>
  </si>
  <si>
    <t>2927</t>
  </si>
  <si>
    <t>Оршанский о.</t>
  </si>
  <si>
    <t>80</t>
  </si>
  <si>
    <t>5290</t>
  </si>
  <si>
    <t>122</t>
  </si>
  <si>
    <t>5292</t>
  </si>
  <si>
    <t>5293</t>
  </si>
  <si>
    <t>v?</t>
  </si>
  <si>
    <t>Борисовский о.</t>
  </si>
  <si>
    <t>6183</t>
  </si>
  <si>
    <t>6184</t>
  </si>
  <si>
    <t>!</t>
  </si>
  <si>
    <t>Б Казимир + Марцеля</t>
  </si>
  <si>
    <t>С Иосиф, отец Викентия</t>
  </si>
  <si>
    <t>Р Доминик? Р Иван Викентьевич, Р Мальвина Казимировна</t>
  </si>
  <si>
    <t>179 д. Малое Плашево, 179 х. Плашево, 182 д. Большое Плашево, 186 д. Среднее Плашево, 191-191об д. Толкачевщина</t>
  </si>
  <si>
    <t>приход существует с 1474, костел построен в 1667, перестроен в в 1751, после восстание 1863-1864 превращен в православную церковь, закрыт в 1910, разрушен в 1962, новый костел построен в 2003</t>
  </si>
  <si>
    <t>ничего интересного</t>
  </si>
  <si>
    <t>имен нет</t>
  </si>
  <si>
    <t>только Витебский о.</t>
  </si>
  <si>
    <t>Ренида вышла за ВВ в Воронеже?</t>
  </si>
  <si>
    <t>235</t>
  </si>
  <si>
    <t>236</t>
  </si>
  <si>
    <t>246</t>
  </si>
  <si>
    <t>166</t>
  </si>
  <si>
    <t>167</t>
  </si>
  <si>
    <t>168</t>
  </si>
  <si>
    <t>1897-1901</t>
  </si>
  <si>
    <t>1892-1896</t>
  </si>
  <si>
    <t>1886-1891</t>
  </si>
  <si>
    <t>1882-1885</t>
  </si>
  <si>
    <t>5</t>
  </si>
  <si>
    <t>1900-1903</t>
  </si>
  <si>
    <t>1896-1900</t>
  </si>
  <si>
    <t>МК Обчуга Р</t>
  </si>
  <si>
    <t>Обчуга, Преображенская церковь</t>
  </si>
  <si>
    <t>Логишин, Преображенская церковь</t>
  </si>
  <si>
    <t>52а Шищицы, Дубовик Федор Алексеевич</t>
  </si>
  <si>
    <t>104 Шищицы, Дубовик Федор Алексеевич</t>
  </si>
  <si>
    <t>Шищицкая школа, Дубовік Мікалай</t>
  </si>
  <si>
    <t>Черея, Успенская церковь</t>
  </si>
  <si>
    <t>1914-1916</t>
  </si>
  <si>
    <t>МК Черея РБУ</t>
  </si>
  <si>
    <t>МК Черея Р</t>
  </si>
  <si>
    <t>82</t>
  </si>
  <si>
    <t>Черея Брачные обыски</t>
  </si>
  <si>
    <t>1913-1915</t>
  </si>
  <si>
    <t>Островки, много Хрипачей</t>
  </si>
  <si>
    <t>Заборский с/c</t>
  </si>
  <si>
    <t>Хрипачи есть, Островок нет</t>
  </si>
  <si>
    <t>Хрипачей нет, Островок нет</t>
  </si>
  <si>
    <t>Озаричи, Георгиевская церковь</t>
  </si>
  <si>
    <t>МК Озаричи РБУ</t>
  </si>
  <si>
    <t>МК Логишин РБУ</t>
  </si>
  <si>
    <t>Андриевич</t>
  </si>
  <si>
    <t>Оля</t>
  </si>
  <si>
    <t>Володя</t>
  </si>
  <si>
    <t>ВВ</t>
  </si>
  <si>
    <t>врач?</t>
  </si>
  <si>
    <t>п. Прилуки, ул. Мира 1, 11</t>
  </si>
  <si>
    <t>xv</t>
  </si>
  <si>
    <t>расшито</t>
  </si>
  <si>
    <t>Хоровец Иван Михайлович и другие</t>
  </si>
  <si>
    <t>Уласевич Станислава Доминиковна и другие</t>
  </si>
  <si>
    <t>выдано</t>
  </si>
  <si>
    <t>много Хрипачей без имен</t>
  </si>
  <si>
    <t>1909-1912</t>
  </si>
  <si>
    <t>1905-1907</t>
  </si>
  <si>
    <t>81</t>
  </si>
  <si>
    <t>70</t>
  </si>
  <si>
    <t>1900-1901</t>
  </si>
  <si>
    <t>Черея, Воскресенская церковь</t>
  </si>
  <si>
    <t>Михаил Иванович Хрипач, Заборочье</t>
  </si>
  <si>
    <r>
      <t xml:space="preserve">много Хрипачей, </t>
    </r>
    <r>
      <rPr>
        <b/>
        <sz val="11"/>
        <rFont val="Calibri"/>
        <family val="2"/>
        <charset val="204"/>
        <scheme val="minor"/>
      </rPr>
      <t>ОЦ</t>
    </r>
  </si>
  <si>
    <t>повреждено</t>
  </si>
  <si>
    <t>ничего</t>
  </si>
  <si>
    <t>(жена Лайкова Ивана Григорьевича)</t>
  </si>
  <si>
    <t>Андрей Дубовик</t>
  </si>
  <si>
    <t>Шищицы есть, Дубовиков нет</t>
  </si>
  <si>
    <t>Плашева нет, Уласевичей нет</t>
  </si>
  <si>
    <t>много Хрипачей</t>
  </si>
  <si>
    <t>много Хоровцов</t>
  </si>
  <si>
    <t>848</t>
  </si>
  <si>
    <t>Промкарты обследования мелких промышленных предприятий БССР за октябрь 1928 г.</t>
  </si>
  <si>
    <t>211</t>
  </si>
  <si>
    <t>отец Степан Ефимович, брат Николай</t>
  </si>
  <si>
    <t>Хрипач Петр Андреевич, с приветом, сын Татьяны Трофимовны</t>
  </si>
  <si>
    <t>Устиновна, пос Сосновка, Калининградская обл</t>
  </si>
  <si>
    <t>муж Максим? Николай Максимович? Ильинична?</t>
  </si>
  <si>
    <t>1927-30</t>
  </si>
  <si>
    <t>Уласевич Степан, Михаил, Мартин Иосифовичи</t>
  </si>
  <si>
    <t>Уласевич Болеслав, Антон Казимировичи</t>
  </si>
  <si>
    <t>Греское лесничество, Дубовиков нет</t>
  </si>
  <si>
    <t>885</t>
  </si>
  <si>
    <t>Списки неценз. пром. предпр., кустарей и ремесл. За окт. 1926</t>
  </si>
  <si>
    <t>несколько Хрипачей</t>
  </si>
  <si>
    <t>886</t>
  </si>
  <si>
    <t>1970</t>
  </si>
  <si>
    <t>Списки домохоз. По спискам с/х налога, Орш. Окр. 1927-1928</t>
  </si>
  <si>
    <t>только Горецкий р-н</t>
  </si>
  <si>
    <t>Островок нет</t>
  </si>
  <si>
    <t>219</t>
  </si>
  <si>
    <t>245</t>
  </si>
  <si>
    <t>МК Обчуга РБУ</t>
  </si>
  <si>
    <t>197-280об</t>
  </si>
  <si>
    <t>Пинский повет, Логишинская гмина</t>
  </si>
  <si>
    <t>Вертниковский сельсовет, Плашево</t>
  </si>
  <si>
    <t>Демидовичский сельсовет, Плашево</t>
  </si>
  <si>
    <t>Б Франи и Шабловского, Р Ядвиги Ш, Б Анны и Селицкого, Р детей Анны</t>
  </si>
  <si>
    <t>Заказано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</si>
</sst>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3">
    <font>
      <sz val="11"/>
      <name val="Calibri"/>
      <scheme val="minor"/>
    </font>
    <font>
      <sz val="11"/>
      <name val="Calibri"/>
      <family val="2"/>
      <charset val="204"/>
    </font>
    <font>
      <sz val="11"/>
      <color theme="0" tint="-0.1499984740745262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7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strike/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theme="9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1"/>
      <color rgb="FF00B050"/>
      <name val="Calibri"/>
      <family val="2"/>
      <charset val="204"/>
    </font>
    <font>
      <sz val="11"/>
      <color theme="0" tint="-0.249977111117893"/>
      <name val="Calibri"/>
      <family val="2"/>
      <charset val="204"/>
      <scheme val="minor"/>
    </font>
    <font>
      <b/>
      <sz val="11"/>
      <color theme="0" tint="-0.1499984740745262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3">
    <xf numFmtId="0" fontId="0" fillId="0" borderId="0" xfId="0" applyFont="1" applyAlignment="1"/>
    <xf numFmtId="49" fontId="1" fillId="0" borderId="0" xfId="0" applyNumberFormat="1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4" fillId="0" borderId="0" xfId="0" applyNumberFormat="1" applyFont="1"/>
    <xf numFmtId="0" fontId="7" fillId="0" borderId="0" xfId="1" applyAlignment="1"/>
    <xf numFmtId="0" fontId="7" fillId="0" borderId="0" xfId="1" applyAlignment="1">
      <alignment wrapText="1"/>
    </xf>
    <xf numFmtId="0" fontId="0" fillId="0" borderId="0" xfId="0" applyFont="1" applyAlignment="1">
      <alignment horizontal="right" wrapText="1"/>
    </xf>
    <xf numFmtId="0" fontId="0" fillId="2" borderId="0" xfId="0" applyFont="1" applyFill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0" xfId="0" applyNumberFormat="1" applyFont="1" applyAlignment="1">
      <alignment wrapText="1"/>
    </xf>
    <xf numFmtId="49" fontId="3" fillId="2" borderId="0" xfId="0" applyNumberFormat="1" applyFont="1" applyFill="1" applyAlignment="1">
      <alignment wrapText="1"/>
    </xf>
    <xf numFmtId="49" fontId="0" fillId="2" borderId="0" xfId="0" applyNumberFormat="1" applyFont="1" applyFill="1" applyAlignment="1">
      <alignment wrapText="1"/>
    </xf>
    <xf numFmtId="49" fontId="0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wrapText="1"/>
    </xf>
    <xf numFmtId="49" fontId="8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49" fontId="11" fillId="0" borderId="0" xfId="0" applyNumberFormat="1" applyFont="1" applyAlignment="1">
      <alignment wrapText="1"/>
    </xf>
    <xf numFmtId="49" fontId="10" fillId="0" borderId="0" xfId="0" applyNumberFormat="1" applyFont="1" applyAlignment="1">
      <alignment wrapText="1"/>
    </xf>
    <xf numFmtId="0" fontId="10" fillId="0" borderId="0" xfId="0" applyFont="1" applyAlignment="1"/>
    <xf numFmtId="49" fontId="2" fillId="2" borderId="0" xfId="0" applyNumberFormat="1" applyFont="1" applyFill="1" applyAlignment="1">
      <alignment wrapText="1"/>
    </xf>
    <xf numFmtId="49" fontId="9" fillId="0" borderId="0" xfId="0" applyNumberFormat="1" applyFont="1" applyAlignment="1">
      <alignment wrapText="1"/>
    </xf>
    <xf numFmtId="0" fontId="3" fillId="0" borderId="0" xfId="0" applyFont="1" applyAlignment="1">
      <alignment horizontal="right" wrapText="1"/>
    </xf>
    <xf numFmtId="49" fontId="13" fillId="3" borderId="0" xfId="0" applyNumberFormat="1" applyFont="1" applyFill="1" applyAlignment="1">
      <alignment wrapText="1"/>
    </xf>
    <xf numFmtId="49" fontId="15" fillId="0" borderId="0" xfId="0" applyNumberFormat="1" applyFont="1" applyAlignment="1">
      <alignment wrapText="1"/>
    </xf>
    <xf numFmtId="49" fontId="14" fillId="0" borderId="0" xfId="0" applyNumberFormat="1" applyFont="1" applyAlignment="1">
      <alignment wrapText="1"/>
    </xf>
    <xf numFmtId="49" fontId="14" fillId="0" borderId="0" xfId="0" applyNumberFormat="1" applyFont="1" applyAlignment="1"/>
    <xf numFmtId="49" fontId="16" fillId="0" borderId="0" xfId="0" applyNumberFormat="1" applyFont="1" applyAlignment="1">
      <alignment wrapText="1"/>
    </xf>
    <xf numFmtId="49" fontId="17" fillId="0" borderId="0" xfId="0" applyNumberFormat="1" applyFont="1" applyAlignment="1">
      <alignment wrapText="1"/>
    </xf>
    <xf numFmtId="49" fontId="8" fillId="0" borderId="0" xfId="0" applyNumberFormat="1" applyFont="1" applyFill="1" applyAlignment="1">
      <alignment wrapText="1"/>
    </xf>
    <xf numFmtId="49" fontId="16" fillId="0" borderId="0" xfId="0" applyNumberFormat="1" applyFont="1" applyFill="1" applyAlignment="1">
      <alignment wrapText="1"/>
    </xf>
    <xf numFmtId="49" fontId="19" fillId="0" borderId="0" xfId="0" applyNumberFormat="1" applyFont="1" applyAlignment="1">
      <alignment horizontal="center" wrapText="1"/>
    </xf>
    <xf numFmtId="49" fontId="19" fillId="2" borderId="0" xfId="0" applyNumberFormat="1" applyFont="1" applyFill="1" applyAlignment="1">
      <alignment horizontal="center" wrapText="1"/>
    </xf>
    <xf numFmtId="49" fontId="19" fillId="0" borderId="0" xfId="0" applyNumberFormat="1" applyFont="1" applyFill="1" applyAlignment="1">
      <alignment horizontal="center" wrapText="1"/>
    </xf>
    <xf numFmtId="49" fontId="18" fillId="0" borderId="0" xfId="0" applyNumberFormat="1" applyFont="1" applyAlignment="1">
      <alignment horizontal="center" wrapText="1"/>
    </xf>
    <xf numFmtId="49" fontId="18" fillId="0" borderId="0" xfId="0" applyNumberFormat="1" applyFont="1" applyFill="1" applyAlignment="1">
      <alignment horizontal="center" wrapText="1"/>
    </xf>
    <xf numFmtId="49" fontId="3" fillId="0" borderId="0" xfId="0" applyNumberFormat="1" applyFont="1" applyAlignment="1"/>
    <xf numFmtId="49" fontId="3" fillId="2" borderId="0" xfId="0" applyNumberFormat="1" applyFont="1" applyFill="1" applyAlignment="1"/>
    <xf numFmtId="49" fontId="3" fillId="0" borderId="0" xfId="0" applyNumberFormat="1" applyFont="1" applyFill="1" applyAlignment="1"/>
    <xf numFmtId="49" fontId="10" fillId="0" borderId="0" xfId="0" applyNumberFormat="1" applyFont="1" applyFill="1" applyAlignment="1"/>
    <xf numFmtId="0" fontId="15" fillId="0" borderId="0" xfId="0" applyFont="1" applyAlignment="1"/>
    <xf numFmtId="49" fontId="20" fillId="0" borderId="0" xfId="0" applyNumberFormat="1" applyFont="1"/>
    <xf numFmtId="49" fontId="3" fillId="0" borderId="0" xfId="0" applyNumberFormat="1" applyFont="1" applyFill="1" applyAlignment="1">
      <alignment horizontal="left" wrapText="1"/>
    </xf>
    <xf numFmtId="49" fontId="10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horizontal="left" wrapText="1"/>
    </xf>
    <xf numFmtId="49" fontId="16" fillId="0" borderId="0" xfId="0" applyNumberFormat="1" applyFont="1" applyFill="1" applyAlignment="1"/>
    <xf numFmtId="49" fontId="21" fillId="0" borderId="0" xfId="0" applyNumberFormat="1" applyFont="1" applyAlignment="1">
      <alignment wrapText="1"/>
    </xf>
    <xf numFmtId="49" fontId="0" fillId="0" borderId="0" xfId="0" applyNumberFormat="1" applyFont="1" applyAlignment="1"/>
    <xf numFmtId="49" fontId="3" fillId="0" borderId="0" xfId="0" applyNumberFormat="1" applyFont="1" applyFill="1" applyAlignment="1">
      <alignment horizontal="left" wrapText="1"/>
    </xf>
    <xf numFmtId="49" fontId="3" fillId="0" borderId="0" xfId="0" applyNumberFormat="1" applyFont="1" applyFill="1" applyAlignment="1">
      <alignment horizontal="left" wrapText="1"/>
    </xf>
    <xf numFmtId="49" fontId="0" fillId="0" borderId="0" xfId="0" applyNumberFormat="1" applyFont="1" applyFill="1" applyAlignment="1">
      <alignment horizontal="left" wrapText="1"/>
    </xf>
    <xf numFmtId="49" fontId="0" fillId="0" borderId="0" xfId="0" applyNumberFormat="1" applyFont="1" applyAlignment="1">
      <alignment horizontal="left" wrapText="1"/>
    </xf>
    <xf numFmtId="49" fontId="10" fillId="2" borderId="0" xfId="0" applyNumberFormat="1" applyFont="1" applyFill="1" applyAlignment="1">
      <alignment wrapText="1"/>
    </xf>
    <xf numFmtId="49" fontId="22" fillId="0" borderId="0" xfId="0" applyNumberFormat="1" applyFont="1" applyAlignment="1">
      <alignment wrapText="1"/>
    </xf>
    <xf numFmtId="49" fontId="22" fillId="2" borderId="0" xfId="0" applyNumberFormat="1" applyFont="1" applyFill="1" applyAlignment="1">
      <alignment wrapText="1"/>
    </xf>
    <xf numFmtId="49" fontId="3" fillId="0" borderId="0" xfId="0" applyNumberFormat="1" applyFont="1" applyAlignment="1">
      <alignment horizontal="left" wrapText="1"/>
    </xf>
    <xf numFmtId="49" fontId="3" fillId="2" borderId="0" xfId="0" applyNumberFormat="1" applyFont="1" applyFill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2" borderId="0" xfId="0" applyNumberFormat="1" applyFont="1" applyFill="1" applyAlignment="1">
      <alignment horizontal="left" wrapText="1"/>
    </xf>
    <xf numFmtId="49" fontId="8" fillId="0" borderId="0" xfId="0" applyNumberFormat="1" applyFont="1" applyFill="1" applyAlignment="1">
      <alignment horizontal="left"/>
    </xf>
    <xf numFmtId="49" fontId="8" fillId="0" borderId="0" xfId="0" applyNumberFormat="1" applyFont="1" applyFill="1" applyAlignment="1">
      <alignment horizontal="left" wrapText="1"/>
    </xf>
    <xf numFmtId="165" fontId="8" fillId="0" borderId="0" xfId="0" applyNumberFormat="1" applyFont="1" applyFill="1" applyAlignment="1">
      <alignment horizontal="left"/>
    </xf>
  </cellXfs>
  <cellStyles count="2">
    <cellStyle name="Hyperlink" xfId="1" builtinId="8"/>
    <cellStyle name="Normal" xfId="0" builtinId="0"/>
  </cellStyles>
  <dxfs count="135">
    <dxf>
      <font>
        <color rgb="FFFF0000"/>
      </font>
    </dxf>
    <dxf>
      <font>
        <color theme="7"/>
      </font>
    </dxf>
    <dxf>
      <font>
        <color theme="0" tint="-0.14996795556505021"/>
      </font>
    </dxf>
    <dxf>
      <font>
        <color rgb="FFB5C804"/>
      </font>
    </dxf>
    <dxf>
      <font>
        <color rgb="FF00B050"/>
      </font>
    </dxf>
    <dxf>
      <font>
        <color rgb="FF9966FF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theme="9" tint="0.39994506668294322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theme="9" tint="0.39994506668294322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theme="9" tint="0.39994506668294322"/>
      </font>
    </dxf>
    <dxf>
      <font>
        <color rgb="FFFF0000"/>
      </font>
    </dxf>
    <dxf>
      <font>
        <color theme="7"/>
      </font>
    </dxf>
    <dxf>
      <font>
        <color theme="0" tint="-0.14996795556505021"/>
      </font>
    </dxf>
    <dxf>
      <font>
        <color rgb="FFB5C804"/>
      </font>
    </dxf>
    <dxf>
      <font>
        <color rgb="FF00B050"/>
      </font>
    </dxf>
    <dxf>
      <font>
        <color rgb="FF9966FF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theme="9" tint="0.39994506668294322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theme="9" tint="0.39994506668294322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theme="9" tint="0.39994506668294322"/>
      </font>
    </dxf>
    <dxf>
      <font>
        <color theme="7"/>
      </font>
    </dxf>
    <dxf>
      <font>
        <color theme="0" tint="-0.14996795556505021"/>
      </font>
    </dxf>
    <dxf>
      <font>
        <color rgb="FFB5C804"/>
      </font>
    </dxf>
    <dxf>
      <font>
        <color rgb="FF00B050"/>
      </font>
    </dxf>
    <dxf>
      <font>
        <color rgb="FF9966FF"/>
      </font>
    </dxf>
    <dxf>
      <font>
        <color rgb="FFFF0000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theme="9" tint="0.39994506668294322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theme="9" tint="0.39994506668294322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theme="9" tint="0.39994506668294322"/>
      </font>
    </dxf>
    <dxf>
      <font>
        <color theme="7"/>
      </font>
    </dxf>
    <dxf>
      <font>
        <color theme="0" tint="-0.14996795556505021"/>
      </font>
    </dxf>
    <dxf>
      <font>
        <color rgb="FFB5C804"/>
      </font>
    </dxf>
    <dxf>
      <font>
        <color rgb="FF00B050"/>
      </font>
    </dxf>
    <dxf>
      <font>
        <color rgb="FF9966FF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theme="9" tint="0.39994506668294322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rgb="FFB5C804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theme="9" tint="0.39994506668294322"/>
      </font>
    </dxf>
    <dxf>
      <font>
        <color theme="7"/>
      </font>
    </dxf>
    <dxf>
      <font>
        <color theme="0" tint="-0.14996795556505021"/>
      </font>
    </dxf>
    <dxf>
      <font>
        <color rgb="FF00B050"/>
      </font>
    </dxf>
    <dxf>
      <font>
        <color theme="9" tint="0.39994506668294322"/>
      </font>
    </dxf>
  </dxfs>
  <tableStyles count="0" defaultTableStyle="TableStyleMedium2" defaultPivotStyle="PivotStyleLight16"/>
  <colors>
    <mruColors>
      <color rgb="FF9966FF"/>
      <color rgb="FFCC66FF"/>
      <color rgb="FFB5C804"/>
      <color rgb="FFAECBA5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mory.mil.by/poisk-pogibshikh/885800/" TargetMode="External"/><Relationship Id="rId2" Type="http://schemas.openxmlformats.org/officeDocument/2006/relationships/hyperlink" Target="https://memory.mil.by/poisk-pogibshikh/57748/" TargetMode="External"/><Relationship Id="rId1" Type="http://schemas.openxmlformats.org/officeDocument/2006/relationships/hyperlink" Target="https://nkvd.memo.ru/index.php/%D0%94%D1%83%D0%B1%D0%BE%D0%B2%D0%B8%D0%BA,_%D0%90%D0%BB%D0%B5%D0%BA%D1%81%D0%B0%D0%BD%D0%B4%D1%80_%D0%98%D0%BE%D1%81%D0%B8%D1%84%D0%BE%D0%B2%D0%B8%D1%87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artizany.by/partisans/156512/" TargetMode="External"/><Relationship Id="rId4" Type="http://schemas.openxmlformats.org/officeDocument/2006/relationships/hyperlink" Target="https://partizany.by/partisans/161327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t.me/ArchiveVed" TargetMode="External"/><Relationship Id="rId1" Type="http://schemas.openxmlformats.org/officeDocument/2006/relationships/hyperlink" Target="https://t.me/pamyatbelarus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adzima.net/ru/wojewodztwo/poleskie_1933.html" TargetMode="External"/><Relationship Id="rId18" Type="http://schemas.openxmlformats.org/officeDocument/2006/relationships/hyperlink" Target="https://www.radzima.net/ru/rayon/pinski.html" TargetMode="External"/><Relationship Id="rId26" Type="http://schemas.openxmlformats.org/officeDocument/2006/relationships/hyperlink" Target="https://www.radzima.net/ru/rayon/cherejskij-1926.html" TargetMode="External"/><Relationship Id="rId39" Type="http://schemas.openxmlformats.org/officeDocument/2006/relationships/hyperlink" Target="https://www.radzima.net/ru/volost/staroselskaya-3.html" TargetMode="External"/><Relationship Id="rId21" Type="http://schemas.openxmlformats.org/officeDocument/2006/relationships/hyperlink" Target="https://www.radzima.net/ru/guberniya/mogilevskaya.html" TargetMode="External"/><Relationship Id="rId34" Type="http://schemas.openxmlformats.org/officeDocument/2006/relationships/hyperlink" Target="https://www.radzima.net/ru/prihod/ozarichskiy-pokrovskiy.html" TargetMode="External"/><Relationship Id="rId42" Type="http://schemas.openxmlformats.org/officeDocument/2006/relationships/hyperlink" Target="https://www.radzima.net/ru/uezd/minskiy-1909.html" TargetMode="External"/><Relationship Id="rId47" Type="http://schemas.openxmlformats.org/officeDocument/2006/relationships/hyperlink" Target="https://www.radzima.net/ru/volost/staroselskaya-3-1924.html" TargetMode="External"/><Relationship Id="rId50" Type="http://schemas.openxmlformats.org/officeDocument/2006/relationships/hyperlink" Target="https://www.radzima.net/ru/rayon/zaslavskij-1926.html" TargetMode="External"/><Relationship Id="rId55" Type="http://schemas.openxmlformats.org/officeDocument/2006/relationships/hyperlink" Target="https://www.radzima.net/ru/selsovet/demidovichskij-m.html" TargetMode="External"/><Relationship Id="rId63" Type="http://schemas.openxmlformats.org/officeDocument/2006/relationships/hyperlink" Target="https://www.radzima.net/ru/uezd/slutskiy-1909.html" TargetMode="External"/><Relationship Id="rId68" Type="http://schemas.openxmlformats.org/officeDocument/2006/relationships/hyperlink" Target="https://www.radzima.net/ru/volost/greskaya-1924.html" TargetMode="External"/><Relationship Id="rId76" Type="http://schemas.openxmlformats.org/officeDocument/2006/relationships/hyperlink" Target="https://www.radzima.net/ru/selsovet/gacukovskij-m.html" TargetMode="External"/><Relationship Id="rId84" Type="http://schemas.openxmlformats.org/officeDocument/2006/relationships/hyperlink" Target="https://www.radzima.net/ru/uezd/sennenskiy.html" TargetMode="External"/><Relationship Id="rId89" Type="http://schemas.openxmlformats.org/officeDocument/2006/relationships/hyperlink" Target="https://www.radzima.net/ru/oblasc/minskaja-2017.html" TargetMode="External"/><Relationship Id="rId7" Type="http://schemas.openxmlformats.org/officeDocument/2006/relationships/hyperlink" Target="https://www.radzima.net/ru/volost/logishinskaya-1909.html" TargetMode="External"/><Relationship Id="rId71" Type="http://schemas.openxmlformats.org/officeDocument/2006/relationships/hyperlink" Target="https://www.radzima.net/ru/rayon/gresskij-1926.html" TargetMode="External"/><Relationship Id="rId92" Type="http://schemas.openxmlformats.org/officeDocument/2006/relationships/printerSettings" Target="../printerSettings/printerSettings4.bin"/><Relationship Id="rId2" Type="http://schemas.openxmlformats.org/officeDocument/2006/relationships/hyperlink" Target="https://www.radzima.net/ru/uezd/pinskiy.html" TargetMode="External"/><Relationship Id="rId16" Type="http://schemas.openxmlformats.org/officeDocument/2006/relationships/hyperlink" Target="https://www.radzima.net/ru/miejsce/waliszcze_1.html" TargetMode="External"/><Relationship Id="rId29" Type="http://schemas.openxmlformats.org/officeDocument/2006/relationships/hyperlink" Target="https://www.radzima.net/ru/oblasc/minskaja-2017.html" TargetMode="External"/><Relationship Id="rId11" Type="http://schemas.openxmlformats.org/officeDocument/2006/relationships/hyperlink" Target="https://www.radzima.net/ru/gmina/lohiszyn-2.html" TargetMode="External"/><Relationship Id="rId24" Type="http://schemas.openxmlformats.org/officeDocument/2006/relationships/hyperlink" Target="https://www.radzima.net/ru/miejsce/ostrovki_1.html" TargetMode="External"/><Relationship Id="rId32" Type="http://schemas.openxmlformats.org/officeDocument/2006/relationships/hyperlink" Target="https://www.radzima.net/ru/miejsce/ostrovki_1.html" TargetMode="External"/><Relationship Id="rId37" Type="http://schemas.openxmlformats.org/officeDocument/2006/relationships/hyperlink" Target="https://www.radzima.net/ru/guberniya/minskaya.html" TargetMode="External"/><Relationship Id="rId40" Type="http://schemas.openxmlformats.org/officeDocument/2006/relationships/hyperlink" Target="https://www.radzima.net/ru/miejsce/plashevo.html" TargetMode="External"/><Relationship Id="rId45" Type="http://schemas.openxmlformats.org/officeDocument/2006/relationships/hyperlink" Target="https://www.radzima.net/ru/bssr/1924.html" TargetMode="External"/><Relationship Id="rId53" Type="http://schemas.openxmlformats.org/officeDocument/2006/relationships/hyperlink" Target="https://www.radzima.net/ru/oblasc/minskaja-2017.html" TargetMode="External"/><Relationship Id="rId58" Type="http://schemas.openxmlformats.org/officeDocument/2006/relationships/hyperlink" Target="https://www.radzima.net/ru/guberniya/minskaya.html" TargetMode="External"/><Relationship Id="rId66" Type="http://schemas.openxmlformats.org/officeDocument/2006/relationships/hyperlink" Target="https://www.radzima.net/ru/bssr/1924.html" TargetMode="External"/><Relationship Id="rId74" Type="http://schemas.openxmlformats.org/officeDocument/2006/relationships/hyperlink" Target="https://www.radzima.net/ru/oblasc/minskaja-2017.html" TargetMode="External"/><Relationship Id="rId79" Type="http://schemas.openxmlformats.org/officeDocument/2006/relationships/hyperlink" Target="https://www.radzima.net/ru/prihod/kolodnickiy-sennenskiy.html" TargetMode="External"/><Relationship Id="rId87" Type="http://schemas.openxmlformats.org/officeDocument/2006/relationships/hyperlink" Target="https://www.radzima.net/ru/rayon/cherejskij-1926.html" TargetMode="External"/><Relationship Id="rId5" Type="http://schemas.openxmlformats.org/officeDocument/2006/relationships/hyperlink" Target="https://www.radzima.net/ru/guberniya/minskaya-1909.html" TargetMode="External"/><Relationship Id="rId61" Type="http://schemas.openxmlformats.org/officeDocument/2006/relationships/hyperlink" Target="https://www.radzima.net/ru/miejsce/shmichitsy.html" TargetMode="External"/><Relationship Id="rId82" Type="http://schemas.openxmlformats.org/officeDocument/2006/relationships/hyperlink" Target="https://www.radzima.net/ru/miejsce/kharitantsy_1.html" TargetMode="External"/><Relationship Id="rId90" Type="http://schemas.openxmlformats.org/officeDocument/2006/relationships/hyperlink" Target="https://www.radzima.net/ru/rayon/krupski.html" TargetMode="External"/><Relationship Id="rId19" Type="http://schemas.openxmlformats.org/officeDocument/2006/relationships/hyperlink" Target="https://www.radzima.net/ru/selsovet/valishchenskiy.html" TargetMode="External"/><Relationship Id="rId14" Type="http://schemas.openxmlformats.org/officeDocument/2006/relationships/hyperlink" Target="https://www.radzima.net/ru/gmina/lohiszyn-2-1933.html" TargetMode="External"/><Relationship Id="rId22" Type="http://schemas.openxmlformats.org/officeDocument/2006/relationships/hyperlink" Target="https://www.radzima.net/ru/uezd/sennenskiy.html" TargetMode="External"/><Relationship Id="rId27" Type="http://schemas.openxmlformats.org/officeDocument/2006/relationships/hyperlink" Target="https://www.radzima.net/ru/selsovet/dubovskiy-1926.html" TargetMode="External"/><Relationship Id="rId30" Type="http://schemas.openxmlformats.org/officeDocument/2006/relationships/hyperlink" Target="https://www.radzima.net/ru/rayon/krupski.html" TargetMode="External"/><Relationship Id="rId35" Type="http://schemas.openxmlformats.org/officeDocument/2006/relationships/hyperlink" Target="https://www.radzima.net/ru/prihod/logishinskiy.html" TargetMode="External"/><Relationship Id="rId43" Type="http://schemas.openxmlformats.org/officeDocument/2006/relationships/hyperlink" Target="https://www.radzima.net/ru/volost/staroselskaya-3-1909.html" TargetMode="External"/><Relationship Id="rId48" Type="http://schemas.openxmlformats.org/officeDocument/2006/relationships/hyperlink" Target="https://www.radzima.net/ru/miejsce/plashevo.html" TargetMode="External"/><Relationship Id="rId56" Type="http://schemas.openxmlformats.org/officeDocument/2006/relationships/hyperlink" Target="https://www.radzima.net/ru/miejsce/plashevo.html" TargetMode="External"/><Relationship Id="rId64" Type="http://schemas.openxmlformats.org/officeDocument/2006/relationships/hyperlink" Target="https://www.radzima.net/ru/volost/greskaya-1909.html" TargetMode="External"/><Relationship Id="rId69" Type="http://schemas.openxmlformats.org/officeDocument/2006/relationships/hyperlink" Target="https://www.radzima.net/ru/miejsce/shmichitsy.html" TargetMode="External"/><Relationship Id="rId77" Type="http://schemas.openxmlformats.org/officeDocument/2006/relationships/hyperlink" Target="https://www.radzima.net/ru/miejsce/shmichitsy.html" TargetMode="External"/><Relationship Id="rId8" Type="http://schemas.openxmlformats.org/officeDocument/2006/relationships/hyperlink" Target="https://www.radzima.net/ru/miejsce/waliszcze_1.html" TargetMode="External"/><Relationship Id="rId51" Type="http://schemas.openxmlformats.org/officeDocument/2006/relationships/hyperlink" Target="https://www.radzima.net/ru/selsovet/staroselskiy-zss.html" TargetMode="External"/><Relationship Id="rId72" Type="http://schemas.openxmlformats.org/officeDocument/2006/relationships/hyperlink" Target="https://www.radzima.net/ru/selsovet/shishchitskiy-1926.html" TargetMode="External"/><Relationship Id="rId80" Type="http://schemas.openxmlformats.org/officeDocument/2006/relationships/hyperlink" Target="https://www.radzima.net/ru/miejsce/kharitantsy_1.html" TargetMode="External"/><Relationship Id="rId85" Type="http://schemas.openxmlformats.org/officeDocument/2006/relationships/hyperlink" Target="https://www.radzima.net/ru/guberniya/mogilevskaya.html" TargetMode="External"/><Relationship Id="rId3" Type="http://schemas.openxmlformats.org/officeDocument/2006/relationships/hyperlink" Target="https://www.radzima.net/ru/volost/logishinskaya.html" TargetMode="External"/><Relationship Id="rId12" Type="http://schemas.openxmlformats.org/officeDocument/2006/relationships/hyperlink" Target="https://www.radzima.net/ru/miejsce/waliszcze_1.html" TargetMode="External"/><Relationship Id="rId17" Type="http://schemas.openxmlformats.org/officeDocument/2006/relationships/hyperlink" Target="https://www.radzima.net/ru/oblasc/brestskaya.html" TargetMode="External"/><Relationship Id="rId25" Type="http://schemas.openxmlformats.org/officeDocument/2006/relationships/hyperlink" Target="https://www.radzima.net/ru/okrug/borisovskiy-1926.html" TargetMode="External"/><Relationship Id="rId33" Type="http://schemas.openxmlformats.org/officeDocument/2006/relationships/hyperlink" Target="https://www.radzima.net/ru/prihod/obchugskiy-sennenskiy.html" TargetMode="External"/><Relationship Id="rId38" Type="http://schemas.openxmlformats.org/officeDocument/2006/relationships/hyperlink" Target="https://www.radzima.net/ru/uezd/minskiy.html" TargetMode="External"/><Relationship Id="rId46" Type="http://schemas.openxmlformats.org/officeDocument/2006/relationships/hyperlink" Target="https://www.radzima.net/ru/uezd/minskiy-1924.html" TargetMode="External"/><Relationship Id="rId59" Type="http://schemas.openxmlformats.org/officeDocument/2006/relationships/hyperlink" Target="https://www.radzima.net/ru/uezd/slutskiy.html" TargetMode="External"/><Relationship Id="rId67" Type="http://schemas.openxmlformats.org/officeDocument/2006/relationships/hyperlink" Target="https://www.radzima.net/ru/uezd/slutskiy-1924.html" TargetMode="External"/><Relationship Id="rId20" Type="http://schemas.openxmlformats.org/officeDocument/2006/relationships/hyperlink" Target="https://www.radzima.net/ru/miejsce/waliszcze_1.html" TargetMode="External"/><Relationship Id="rId41" Type="http://schemas.openxmlformats.org/officeDocument/2006/relationships/hyperlink" Target="https://www.radzima.net/ru/guberniya/minskaya-1909.html" TargetMode="External"/><Relationship Id="rId54" Type="http://schemas.openxmlformats.org/officeDocument/2006/relationships/hyperlink" Target="https://www.radzima.net/ru/rayon/dziarzhynski.html" TargetMode="External"/><Relationship Id="rId62" Type="http://schemas.openxmlformats.org/officeDocument/2006/relationships/hyperlink" Target="https://www.radzima.net/ru/guberniya/minskaya-1909.html" TargetMode="External"/><Relationship Id="rId70" Type="http://schemas.openxmlformats.org/officeDocument/2006/relationships/hyperlink" Target="https://www.radzima.net/ru/okrug/sluckiy-1926.html" TargetMode="External"/><Relationship Id="rId75" Type="http://schemas.openxmlformats.org/officeDocument/2006/relationships/hyperlink" Target="https://www.radzima.net/ru/rayon/slucki.html" TargetMode="External"/><Relationship Id="rId83" Type="http://schemas.openxmlformats.org/officeDocument/2006/relationships/hyperlink" Target="https://www.radzima.net/ru/volost/chereyskaya.html" TargetMode="External"/><Relationship Id="rId88" Type="http://schemas.openxmlformats.org/officeDocument/2006/relationships/hyperlink" Target="https://www.radzima.net/ru/selsovet/zaborskiy-1926.html" TargetMode="External"/><Relationship Id="rId91" Type="http://schemas.openxmlformats.org/officeDocument/2006/relationships/hyperlink" Target="https://www.radzima.net/ru/selsovet/oktjabrskij-m.html" TargetMode="External"/><Relationship Id="rId1" Type="http://schemas.openxmlformats.org/officeDocument/2006/relationships/hyperlink" Target="https://www.radzima.net/ru/guberniya/minskaya.html" TargetMode="External"/><Relationship Id="rId6" Type="http://schemas.openxmlformats.org/officeDocument/2006/relationships/hyperlink" Target="https://www.radzima.net/ru/uezd/pinskiy-1909.html" TargetMode="External"/><Relationship Id="rId15" Type="http://schemas.openxmlformats.org/officeDocument/2006/relationships/hyperlink" Target="https://www.radzima.net/ru/powiat/pinski-1933.html" TargetMode="External"/><Relationship Id="rId23" Type="http://schemas.openxmlformats.org/officeDocument/2006/relationships/hyperlink" Target="https://www.radzima.net/ru/volost/obchugskaya.html" TargetMode="External"/><Relationship Id="rId28" Type="http://schemas.openxmlformats.org/officeDocument/2006/relationships/hyperlink" Target="https://www.radzima.net/ru/miejsce/ostrovki_1.html" TargetMode="External"/><Relationship Id="rId36" Type="http://schemas.openxmlformats.org/officeDocument/2006/relationships/hyperlink" Target="https://www.radzima.net/ru/parafia/lahiszyn-kosciol.html" TargetMode="External"/><Relationship Id="rId49" Type="http://schemas.openxmlformats.org/officeDocument/2006/relationships/hyperlink" Target="https://www.radzima.net/ru/okrug/minskiy-1926.html" TargetMode="External"/><Relationship Id="rId57" Type="http://schemas.openxmlformats.org/officeDocument/2006/relationships/hyperlink" Target="https://www.radzima.net/ru/prihod/staroselyskiy-bogorodicy.html" TargetMode="External"/><Relationship Id="rId10" Type="http://schemas.openxmlformats.org/officeDocument/2006/relationships/hyperlink" Target="https://www.radzima.net/ru/powiat/pinsk.html" TargetMode="External"/><Relationship Id="rId31" Type="http://schemas.openxmlformats.org/officeDocument/2006/relationships/hyperlink" Target="https://www.radzima.net/ru/selsovet/oktjabrskij-m.html" TargetMode="External"/><Relationship Id="rId44" Type="http://schemas.openxmlformats.org/officeDocument/2006/relationships/hyperlink" Target="https://www.radzima.net/ru/miejsce/plashevo.html" TargetMode="External"/><Relationship Id="rId52" Type="http://schemas.openxmlformats.org/officeDocument/2006/relationships/hyperlink" Target="https://www.radzima.net/ru/miejsce/plashevo.html" TargetMode="External"/><Relationship Id="rId60" Type="http://schemas.openxmlformats.org/officeDocument/2006/relationships/hyperlink" Target="https://www.radzima.net/ru/volost/greskaya.html" TargetMode="External"/><Relationship Id="rId65" Type="http://schemas.openxmlformats.org/officeDocument/2006/relationships/hyperlink" Target="https://www.radzima.net/ru/miejsce/shmichitsy.html" TargetMode="External"/><Relationship Id="rId73" Type="http://schemas.openxmlformats.org/officeDocument/2006/relationships/hyperlink" Target="https://www.radzima.net/ru/miejsce/shmichitsy.html" TargetMode="External"/><Relationship Id="rId78" Type="http://schemas.openxmlformats.org/officeDocument/2006/relationships/hyperlink" Target="https://www.radzima.net/ru/prihod/zabelyskiy.html" TargetMode="External"/><Relationship Id="rId81" Type="http://schemas.openxmlformats.org/officeDocument/2006/relationships/hyperlink" Target="https://www.radzima.net/ru/miejsce/kharitantsy_1.html" TargetMode="External"/><Relationship Id="rId86" Type="http://schemas.openxmlformats.org/officeDocument/2006/relationships/hyperlink" Target="https://www.radzima.net/ru/okrug/borisovskiy-1926.html" TargetMode="External"/><Relationship Id="rId4" Type="http://schemas.openxmlformats.org/officeDocument/2006/relationships/hyperlink" Target="https://www.radzima.net/ru/miejsce/waliszcze_1.html" TargetMode="External"/><Relationship Id="rId9" Type="http://schemas.openxmlformats.org/officeDocument/2006/relationships/hyperlink" Target="https://www.radzima.net/ru/wojewodztwo/poleskie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&#1079;&#1074;&#1072;&#1088;&#1086;&#1090;.&#1073;&#1077;&#1083;/widget/list.php?PAGEN_1=599&amp;region_id=1908&amp;lang=ru&amp;host=www.dzerzhinsk.gov.by&amp;ip=66.249.64.2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FEF0-288E-45E5-96CD-5EF8E17AC7F3}">
  <dimension ref="A1:Q196"/>
  <sheetViews>
    <sheetView topLeftCell="B1" workbookViewId="0">
      <pane ySplit="1" topLeftCell="A38" activePane="bottomLeft" state="frozen"/>
      <selection pane="bottomLeft" activeCell="Q99" sqref="Q99"/>
    </sheetView>
  </sheetViews>
  <sheetFormatPr defaultColWidth="14.453125" defaultRowHeight="14.25" customHeight="1"/>
  <cols>
    <col min="1" max="1" width="5.08984375" customWidth="1"/>
    <col min="2" max="5" width="14.6328125" customWidth="1"/>
    <col min="6" max="6" width="12.54296875" customWidth="1"/>
    <col min="7" max="10" width="14.6328125" customWidth="1"/>
    <col min="11" max="11" width="12.54296875" customWidth="1"/>
    <col min="12" max="15" width="14.6328125" customWidth="1"/>
    <col min="16" max="16" width="5.81640625" customWidth="1"/>
    <col min="17" max="17" width="34.7265625" customWidth="1"/>
    <col min="18" max="19" width="12.54296875" customWidth="1"/>
  </cols>
  <sheetData>
    <row r="1" spans="1:17" ht="14.25" customHeight="1">
      <c r="A1" t="s">
        <v>0</v>
      </c>
      <c r="B1" s="2" t="s">
        <v>239</v>
      </c>
      <c r="C1" s="2" t="s">
        <v>240</v>
      </c>
      <c r="D1" s="2" t="s">
        <v>241</v>
      </c>
      <c r="E1" s="2" t="s">
        <v>242</v>
      </c>
      <c r="F1" s="5" t="s">
        <v>243</v>
      </c>
      <c r="G1" s="2" t="s">
        <v>244</v>
      </c>
      <c r="H1" s="2" t="s">
        <v>430</v>
      </c>
      <c r="I1" s="2" t="s">
        <v>469</v>
      </c>
      <c r="J1" s="2" t="s">
        <v>430</v>
      </c>
      <c r="K1" s="5" t="s">
        <v>245</v>
      </c>
      <c r="L1" s="2" t="s">
        <v>246</v>
      </c>
      <c r="M1" s="2"/>
      <c r="N1" s="2" t="s">
        <v>266</v>
      </c>
      <c r="O1" s="2" t="s">
        <v>260</v>
      </c>
    </row>
    <row r="2" spans="1:17" ht="14.25" customHeight="1">
      <c r="C2" s="41" t="s">
        <v>7</v>
      </c>
      <c r="D2" s="41" t="s">
        <v>237</v>
      </c>
      <c r="E2" s="41" t="s">
        <v>235</v>
      </c>
      <c r="F2" s="42" t="s">
        <v>238</v>
      </c>
      <c r="G2" s="41" t="s">
        <v>8</v>
      </c>
      <c r="H2" s="2"/>
      <c r="I2" s="2"/>
      <c r="J2" s="2"/>
      <c r="K2" s="1"/>
      <c r="N2" s="2" t="s">
        <v>269</v>
      </c>
      <c r="O2" s="2" t="s">
        <v>261</v>
      </c>
      <c r="Q2" s="4" t="s">
        <v>236</v>
      </c>
    </row>
    <row r="3" spans="1:17" ht="14.25" customHeight="1">
      <c r="C3" s="2" t="s">
        <v>7</v>
      </c>
      <c r="D3" s="2" t="s">
        <v>237</v>
      </c>
      <c r="E3" s="2" t="s">
        <v>249</v>
      </c>
      <c r="F3" s="5" t="s">
        <v>248</v>
      </c>
      <c r="G3" s="2" t="s">
        <v>8</v>
      </c>
      <c r="H3" s="2"/>
      <c r="I3" s="2"/>
      <c r="J3" s="2"/>
      <c r="K3" s="1"/>
      <c r="N3" s="2" t="s">
        <v>268</v>
      </c>
      <c r="O3" s="2" t="s">
        <v>262</v>
      </c>
      <c r="Q3" s="4" t="s">
        <v>247</v>
      </c>
    </row>
    <row r="4" spans="1:17" ht="14.25" customHeight="1">
      <c r="C4" s="41" t="s">
        <v>7</v>
      </c>
      <c r="D4" s="41" t="s">
        <v>250</v>
      </c>
      <c r="E4" s="41" t="s">
        <v>251</v>
      </c>
      <c r="F4" s="42" t="s">
        <v>107</v>
      </c>
      <c r="G4" s="41" t="s">
        <v>254</v>
      </c>
      <c r="H4" s="2"/>
      <c r="I4" s="2"/>
      <c r="J4" s="2"/>
      <c r="K4" s="5" t="s">
        <v>255</v>
      </c>
      <c r="N4" s="2" t="s">
        <v>267</v>
      </c>
      <c r="O4" s="2" t="s">
        <v>263</v>
      </c>
      <c r="Q4" s="4" t="s">
        <v>252</v>
      </c>
    </row>
    <row r="5" spans="1:17" ht="14.25" customHeight="1">
      <c r="C5" s="41" t="s">
        <v>7</v>
      </c>
      <c r="D5" s="41" t="s">
        <v>250</v>
      </c>
      <c r="E5" s="41" t="s">
        <v>251</v>
      </c>
      <c r="F5" s="42" t="s">
        <v>107</v>
      </c>
      <c r="G5" s="41" t="s">
        <v>254</v>
      </c>
      <c r="H5" s="2"/>
      <c r="I5" s="2"/>
      <c r="J5" s="2"/>
      <c r="K5" s="1"/>
      <c r="N5" t="s">
        <v>265</v>
      </c>
      <c r="O5" s="2" t="s">
        <v>264</v>
      </c>
      <c r="Q5" s="4" t="s">
        <v>253</v>
      </c>
    </row>
    <row r="6" spans="1:17" ht="14.25" customHeight="1">
      <c r="C6" s="41" t="s">
        <v>7</v>
      </c>
      <c r="D6" s="41" t="s">
        <v>258</v>
      </c>
      <c r="E6" s="41" t="s">
        <v>259</v>
      </c>
      <c r="F6" s="42" t="s">
        <v>257</v>
      </c>
      <c r="G6" s="41" t="s">
        <v>254</v>
      </c>
      <c r="H6" s="2"/>
      <c r="I6" s="2"/>
      <c r="J6" s="2"/>
      <c r="K6" s="1"/>
      <c r="N6" t="s">
        <v>265</v>
      </c>
      <c r="O6" s="2" t="s">
        <v>264</v>
      </c>
      <c r="Q6" s="4" t="s">
        <v>256</v>
      </c>
    </row>
    <row r="7" spans="1:17" ht="14.25" customHeight="1">
      <c r="C7" s="2" t="s">
        <v>7</v>
      </c>
      <c r="D7" s="2" t="s">
        <v>383</v>
      </c>
      <c r="E7" s="2" t="s">
        <v>251</v>
      </c>
      <c r="F7" s="5" t="s">
        <v>384</v>
      </c>
      <c r="G7" s="2" t="s">
        <v>385</v>
      </c>
      <c r="H7" s="2"/>
      <c r="I7" s="2"/>
      <c r="J7" s="2"/>
      <c r="K7" s="1"/>
      <c r="O7" s="2"/>
      <c r="Q7" s="4" t="s">
        <v>382</v>
      </c>
    </row>
    <row r="8" spans="1:17" ht="14.25" customHeight="1">
      <c r="C8" s="2"/>
      <c r="D8" s="2"/>
      <c r="E8" s="2"/>
      <c r="F8" s="5"/>
      <c r="G8" s="2"/>
      <c r="H8" s="2"/>
      <c r="I8" s="2"/>
      <c r="J8" s="2"/>
      <c r="K8" s="1"/>
      <c r="O8" s="2"/>
      <c r="Q8" s="4"/>
    </row>
    <row r="9" spans="1:17" ht="14.25" customHeight="1">
      <c r="C9" s="2" t="s">
        <v>7</v>
      </c>
      <c r="D9" s="2" t="s">
        <v>515</v>
      </c>
      <c r="E9" s="2" t="s">
        <v>235</v>
      </c>
      <c r="F9" s="5" t="s">
        <v>516</v>
      </c>
      <c r="G9" s="2" t="s">
        <v>8</v>
      </c>
      <c r="H9" s="2"/>
      <c r="I9" s="2"/>
      <c r="J9" s="2"/>
      <c r="K9" s="1"/>
      <c r="O9" s="2"/>
      <c r="Q9" s="7" t="s">
        <v>517</v>
      </c>
    </row>
    <row r="10" spans="1:17" ht="14.25" customHeight="1">
      <c r="C10" s="2" t="s">
        <v>518</v>
      </c>
      <c r="D10" s="2" t="s">
        <v>519</v>
      </c>
      <c r="E10" s="2" t="s">
        <v>235</v>
      </c>
      <c r="F10" s="5" t="s">
        <v>520</v>
      </c>
      <c r="G10" s="2" t="s">
        <v>8</v>
      </c>
      <c r="H10" s="2"/>
      <c r="I10" s="2"/>
      <c r="J10" s="2"/>
      <c r="K10" s="1"/>
      <c r="O10" s="2"/>
      <c r="Q10" s="7" t="s">
        <v>706</v>
      </c>
    </row>
    <row r="11" spans="1:17" ht="14.25" customHeight="1">
      <c r="F11" s="5"/>
      <c r="K11" s="1"/>
    </row>
    <row r="12" spans="1:17" ht="14.25" customHeight="1">
      <c r="C12" s="41" t="s">
        <v>270</v>
      </c>
      <c r="D12" s="41" t="s">
        <v>271</v>
      </c>
      <c r="E12" s="41" t="s">
        <v>272</v>
      </c>
      <c r="F12" s="42" t="s">
        <v>274</v>
      </c>
      <c r="G12" s="41" t="s">
        <v>8</v>
      </c>
      <c r="H12" s="2"/>
      <c r="I12" s="2"/>
      <c r="J12" s="2"/>
      <c r="K12" s="1"/>
      <c r="N12" s="2" t="s">
        <v>278</v>
      </c>
      <c r="O12" s="2" t="s">
        <v>264</v>
      </c>
      <c r="Q12" s="4" t="s">
        <v>273</v>
      </c>
    </row>
    <row r="13" spans="1:17" ht="14.25" customHeight="1">
      <c r="F13" s="1"/>
      <c r="K13" s="1"/>
    </row>
    <row r="14" spans="1:17" ht="14.25" customHeight="1">
      <c r="C14" s="2" t="s">
        <v>13</v>
      </c>
      <c r="D14" s="2" t="s">
        <v>293</v>
      </c>
      <c r="E14" s="2" t="s">
        <v>272</v>
      </c>
      <c r="F14" s="5" t="s">
        <v>289</v>
      </c>
      <c r="G14" s="2" t="s">
        <v>294</v>
      </c>
      <c r="H14" s="2"/>
      <c r="I14" s="2"/>
      <c r="J14" s="2"/>
      <c r="K14" s="5" t="s">
        <v>290</v>
      </c>
      <c r="N14" s="2" t="s">
        <v>292</v>
      </c>
      <c r="O14" s="2" t="s">
        <v>291</v>
      </c>
      <c r="Q14" s="4" t="s">
        <v>288</v>
      </c>
    </row>
    <row r="15" spans="1:17" ht="14.25" customHeight="1">
      <c r="C15" s="2" t="s">
        <v>13</v>
      </c>
      <c r="D15" s="2" t="s">
        <v>5</v>
      </c>
      <c r="E15" s="2" t="s">
        <v>298</v>
      </c>
      <c r="F15" s="5" t="s">
        <v>299</v>
      </c>
      <c r="G15" s="2" t="s">
        <v>294</v>
      </c>
      <c r="H15" s="2"/>
      <c r="I15" s="2"/>
      <c r="J15" s="2"/>
      <c r="K15" s="1"/>
      <c r="N15" s="2" t="s">
        <v>296</v>
      </c>
      <c r="O15" t="s">
        <v>297</v>
      </c>
      <c r="Q15" s="4" t="s">
        <v>295</v>
      </c>
    </row>
    <row r="16" spans="1:17" ht="14.25" customHeight="1">
      <c r="C16" s="2" t="s">
        <v>13</v>
      </c>
      <c r="D16" s="2" t="s">
        <v>305</v>
      </c>
      <c r="E16" t="s">
        <v>251</v>
      </c>
      <c r="F16" s="5" t="s">
        <v>238</v>
      </c>
      <c r="G16" s="2" t="s">
        <v>306</v>
      </c>
      <c r="H16" s="2"/>
      <c r="I16" s="2"/>
      <c r="J16" s="2"/>
      <c r="K16" s="1"/>
      <c r="O16" t="s">
        <v>315</v>
      </c>
      <c r="Q16" s="4" t="s">
        <v>304</v>
      </c>
    </row>
    <row r="17" spans="3:17" ht="14.25" customHeight="1">
      <c r="C17" s="2" t="s">
        <v>13</v>
      </c>
      <c r="D17" s="2" t="s">
        <v>5</v>
      </c>
      <c r="E17" s="2" t="s">
        <v>301</v>
      </c>
      <c r="F17" s="5" t="s">
        <v>287</v>
      </c>
      <c r="G17" s="2" t="s">
        <v>302</v>
      </c>
      <c r="H17" s="2"/>
      <c r="I17" s="2"/>
      <c r="J17" s="2"/>
      <c r="K17" s="5" t="s">
        <v>303</v>
      </c>
      <c r="Q17" s="4" t="s">
        <v>300</v>
      </c>
    </row>
    <row r="18" spans="3:17" ht="14.25" customHeight="1">
      <c r="C18" s="2" t="s">
        <v>13</v>
      </c>
      <c r="D18" s="2" t="s">
        <v>276</v>
      </c>
      <c r="E18" s="2" t="s">
        <v>277</v>
      </c>
      <c r="F18" s="5" t="s">
        <v>286</v>
      </c>
      <c r="G18" s="2" t="s">
        <v>101</v>
      </c>
      <c r="H18" s="2"/>
      <c r="I18" s="2"/>
      <c r="J18" s="2"/>
      <c r="K18" s="1"/>
      <c r="N18" s="2" t="s">
        <v>279</v>
      </c>
      <c r="O18" s="2" t="s">
        <v>280</v>
      </c>
      <c r="Q18" s="4" t="s">
        <v>275</v>
      </c>
    </row>
    <row r="19" spans="3:17" ht="14.25" customHeight="1">
      <c r="C19" s="2" t="s">
        <v>13</v>
      </c>
      <c r="D19" s="2" t="s">
        <v>282</v>
      </c>
      <c r="E19" s="2" t="s">
        <v>283</v>
      </c>
      <c r="F19" s="5" t="s">
        <v>287</v>
      </c>
      <c r="G19" s="2" t="s">
        <v>101</v>
      </c>
      <c r="H19" s="2"/>
      <c r="I19" s="2"/>
      <c r="J19" s="2"/>
      <c r="K19" s="1"/>
      <c r="N19" s="2" t="s">
        <v>285</v>
      </c>
      <c r="O19" t="s">
        <v>284</v>
      </c>
      <c r="Q19" s="4" t="s">
        <v>281</v>
      </c>
    </row>
    <row r="20" spans="3:17" ht="14.25" customHeight="1">
      <c r="C20" s="2" t="s">
        <v>13</v>
      </c>
      <c r="D20" s="2" t="s">
        <v>308</v>
      </c>
      <c r="E20" s="2" t="s">
        <v>277</v>
      </c>
      <c r="F20" s="5" t="s">
        <v>309</v>
      </c>
      <c r="G20" s="2" t="s">
        <v>101</v>
      </c>
      <c r="H20" s="2"/>
      <c r="I20" s="2"/>
      <c r="J20" s="2"/>
      <c r="K20" s="1"/>
      <c r="N20" t="s">
        <v>279</v>
      </c>
      <c r="O20" t="s">
        <v>280</v>
      </c>
      <c r="Q20" s="4" t="s">
        <v>307</v>
      </c>
    </row>
    <row r="21" spans="3:17" ht="14.25" customHeight="1">
      <c r="C21" s="2" t="s">
        <v>13</v>
      </c>
      <c r="D21" s="2" t="s">
        <v>312</v>
      </c>
      <c r="E21" s="2" t="s">
        <v>313</v>
      </c>
      <c r="F21" s="5" t="s">
        <v>309</v>
      </c>
      <c r="G21" s="2" t="s">
        <v>311</v>
      </c>
      <c r="H21" s="2"/>
      <c r="I21" s="2"/>
      <c r="J21" s="2"/>
      <c r="K21" s="1"/>
      <c r="N21" t="s">
        <v>314</v>
      </c>
      <c r="Q21" s="4" t="s">
        <v>310</v>
      </c>
    </row>
    <row r="22" spans="3:17" ht="14.25" customHeight="1">
      <c r="C22" s="2"/>
      <c r="D22" s="2"/>
      <c r="E22" s="2"/>
      <c r="F22" s="5"/>
      <c r="G22" s="2"/>
      <c r="H22" s="2"/>
      <c r="I22" s="2"/>
      <c r="J22" s="2"/>
      <c r="K22" s="1"/>
      <c r="Q22" s="4"/>
    </row>
    <row r="23" spans="3:17" ht="14.25" customHeight="1">
      <c r="C23" s="2" t="s">
        <v>13</v>
      </c>
      <c r="D23" s="2" t="s">
        <v>512</v>
      </c>
      <c r="E23" s="2" t="s">
        <v>513</v>
      </c>
      <c r="F23" s="5" t="s">
        <v>510</v>
      </c>
      <c r="G23" s="2" t="s">
        <v>511</v>
      </c>
      <c r="H23" s="2"/>
      <c r="I23" s="2"/>
      <c r="J23" s="2"/>
      <c r="K23" s="5" t="s">
        <v>514</v>
      </c>
      <c r="Q23" s="7" t="s">
        <v>509</v>
      </c>
    </row>
    <row r="24" spans="3:17" ht="14.25" customHeight="1">
      <c r="F24" s="1"/>
      <c r="K24" s="1"/>
    </row>
    <row r="25" spans="3:17" ht="14.25" customHeight="1">
      <c r="C25" t="s">
        <v>337</v>
      </c>
      <c r="D25" t="s">
        <v>340</v>
      </c>
      <c r="E25" t="s">
        <v>341</v>
      </c>
      <c r="F25" s="1" t="s">
        <v>346</v>
      </c>
      <c r="G25" t="s">
        <v>345</v>
      </c>
      <c r="K25" s="1"/>
      <c r="Q25" s="4" t="s">
        <v>317</v>
      </c>
    </row>
    <row r="26" spans="3:17" ht="14.25" customHeight="1">
      <c r="C26" t="s">
        <v>337</v>
      </c>
      <c r="D26" t="s">
        <v>342</v>
      </c>
      <c r="E26" t="s">
        <v>24</v>
      </c>
      <c r="F26" s="1" t="s">
        <v>286</v>
      </c>
      <c r="G26" t="s">
        <v>345</v>
      </c>
      <c r="K26" s="1"/>
      <c r="Q26" s="4" t="s">
        <v>318</v>
      </c>
    </row>
    <row r="27" spans="3:17" ht="14.25" customHeight="1">
      <c r="C27" t="s">
        <v>337</v>
      </c>
      <c r="D27" t="s">
        <v>347</v>
      </c>
      <c r="E27" t="s">
        <v>34</v>
      </c>
      <c r="F27" s="1" t="s">
        <v>289</v>
      </c>
      <c r="G27" t="s">
        <v>345</v>
      </c>
      <c r="K27" s="1"/>
      <c r="Q27" s="4" t="s">
        <v>319</v>
      </c>
    </row>
    <row r="28" spans="3:17" ht="14.25" customHeight="1">
      <c r="C28" t="s">
        <v>337</v>
      </c>
      <c r="D28" t="s">
        <v>5</v>
      </c>
      <c r="E28" t="s">
        <v>34</v>
      </c>
      <c r="F28" s="1" t="s">
        <v>359</v>
      </c>
      <c r="G28" t="s">
        <v>345</v>
      </c>
      <c r="K28" s="1"/>
      <c r="Q28" s="4" t="s">
        <v>325</v>
      </c>
    </row>
    <row r="29" spans="3:17" ht="14.25" customHeight="1">
      <c r="C29" t="s">
        <v>337</v>
      </c>
      <c r="D29" t="s">
        <v>4</v>
      </c>
      <c r="E29" t="s">
        <v>372</v>
      </c>
      <c r="F29" s="1" t="s">
        <v>373</v>
      </c>
      <c r="G29" t="s">
        <v>345</v>
      </c>
      <c r="K29" s="1"/>
      <c r="Q29" s="4" t="s">
        <v>332</v>
      </c>
    </row>
    <row r="30" spans="3:17" ht="14.25" customHeight="1">
      <c r="C30" t="s">
        <v>337</v>
      </c>
      <c r="D30" t="s">
        <v>374</v>
      </c>
      <c r="E30" t="s">
        <v>375</v>
      </c>
      <c r="F30" s="1" t="s">
        <v>373</v>
      </c>
      <c r="G30" t="s">
        <v>345</v>
      </c>
      <c r="K30" s="1"/>
      <c r="Q30" s="4" t="s">
        <v>333</v>
      </c>
    </row>
    <row r="31" spans="3:17" ht="14.25" customHeight="1">
      <c r="C31" t="s">
        <v>337</v>
      </c>
      <c r="D31" t="s">
        <v>374</v>
      </c>
      <c r="E31" t="s">
        <v>375</v>
      </c>
      <c r="F31" s="1" t="s">
        <v>376</v>
      </c>
      <c r="G31" t="s">
        <v>345</v>
      </c>
      <c r="K31" s="1"/>
      <c r="Q31" s="4" t="s">
        <v>334</v>
      </c>
    </row>
    <row r="32" spans="3:17" ht="14.25" customHeight="1">
      <c r="C32" t="s">
        <v>337</v>
      </c>
      <c r="D32" t="s">
        <v>377</v>
      </c>
      <c r="E32" t="s">
        <v>372</v>
      </c>
      <c r="F32" s="1" t="s">
        <v>10</v>
      </c>
      <c r="G32" t="s">
        <v>345</v>
      </c>
      <c r="K32" s="1"/>
      <c r="Q32" s="4" t="s">
        <v>335</v>
      </c>
    </row>
    <row r="33" spans="3:17" ht="14.25" customHeight="1">
      <c r="C33" t="s">
        <v>337</v>
      </c>
      <c r="D33" t="s">
        <v>250</v>
      </c>
      <c r="E33" t="s">
        <v>235</v>
      </c>
      <c r="F33" s="5" t="s">
        <v>360</v>
      </c>
      <c r="G33" t="s">
        <v>358</v>
      </c>
      <c r="K33" s="5" t="s">
        <v>362</v>
      </c>
      <c r="Q33" s="4" t="s">
        <v>326</v>
      </c>
    </row>
    <row r="34" spans="3:17" ht="14.25" customHeight="1">
      <c r="C34" t="s">
        <v>337</v>
      </c>
      <c r="D34" t="s">
        <v>370</v>
      </c>
      <c r="E34" t="s">
        <v>249</v>
      </c>
      <c r="F34" s="1" t="s">
        <v>371</v>
      </c>
      <c r="G34" t="s">
        <v>369</v>
      </c>
      <c r="K34" s="1"/>
      <c r="Q34" s="4" t="s">
        <v>331</v>
      </c>
    </row>
    <row r="35" spans="3:17" ht="14.25" customHeight="1">
      <c r="C35" t="s">
        <v>337</v>
      </c>
      <c r="D35" t="s">
        <v>5</v>
      </c>
      <c r="E35" t="s">
        <v>259</v>
      </c>
      <c r="F35" s="1" t="s">
        <v>355</v>
      </c>
      <c r="G35" t="s">
        <v>356</v>
      </c>
      <c r="K35" s="1"/>
      <c r="Q35" s="4" t="s">
        <v>322</v>
      </c>
    </row>
    <row r="36" spans="3:17" ht="14.25" customHeight="1">
      <c r="C36" t="s">
        <v>337</v>
      </c>
      <c r="D36" t="s">
        <v>378</v>
      </c>
      <c r="E36" t="s">
        <v>379</v>
      </c>
      <c r="F36" s="1" t="s">
        <v>381</v>
      </c>
      <c r="G36" t="s">
        <v>380</v>
      </c>
      <c r="K36" s="1"/>
      <c r="Q36" s="4" t="s">
        <v>336</v>
      </c>
    </row>
    <row r="37" spans="3:17" ht="14.25" customHeight="1">
      <c r="C37" t="s">
        <v>337</v>
      </c>
      <c r="D37" t="s">
        <v>365</v>
      </c>
      <c r="E37" s="2" t="s">
        <v>272</v>
      </c>
      <c r="F37" s="1" t="s">
        <v>351</v>
      </c>
      <c r="G37" s="2" t="s">
        <v>366</v>
      </c>
      <c r="H37" s="2"/>
      <c r="I37" s="2"/>
      <c r="J37" s="2"/>
      <c r="K37" s="1"/>
      <c r="Q37" s="4" t="s">
        <v>329</v>
      </c>
    </row>
    <row r="38" spans="3:17" ht="14.25" customHeight="1">
      <c r="C38" t="s">
        <v>337</v>
      </c>
      <c r="D38" t="s">
        <v>349</v>
      </c>
      <c r="E38" t="s">
        <v>353</v>
      </c>
      <c r="F38" s="1" t="s">
        <v>354</v>
      </c>
      <c r="G38" t="s">
        <v>352</v>
      </c>
      <c r="K38" s="1"/>
      <c r="Q38" s="4" t="s">
        <v>321</v>
      </c>
    </row>
    <row r="39" spans="3:17" ht="14.25" customHeight="1">
      <c r="C39" t="s">
        <v>337</v>
      </c>
      <c r="D39" t="s">
        <v>338</v>
      </c>
      <c r="E39" t="s">
        <v>339</v>
      </c>
      <c r="F39" s="1" t="s">
        <v>343</v>
      </c>
      <c r="G39" t="s">
        <v>344</v>
      </c>
      <c r="K39" s="1"/>
      <c r="Q39" s="4" t="s">
        <v>316</v>
      </c>
    </row>
    <row r="40" spans="3:17" ht="14.25" customHeight="1">
      <c r="C40" t="s">
        <v>337</v>
      </c>
      <c r="D40" t="s">
        <v>5</v>
      </c>
      <c r="E40" t="s">
        <v>259</v>
      </c>
      <c r="F40" s="1" t="s">
        <v>357</v>
      </c>
      <c r="G40" t="s">
        <v>344</v>
      </c>
      <c r="K40" s="1"/>
      <c r="Q40" s="4" t="s">
        <v>323</v>
      </c>
    </row>
    <row r="41" spans="3:17" ht="14.25" customHeight="1">
      <c r="C41" t="s">
        <v>337</v>
      </c>
      <c r="D41" t="s">
        <v>250</v>
      </c>
      <c r="E41" s="2" t="s">
        <v>272</v>
      </c>
      <c r="F41" s="1" t="s">
        <v>351</v>
      </c>
      <c r="G41" t="s">
        <v>344</v>
      </c>
      <c r="K41" s="1"/>
      <c r="Q41" s="4" t="s">
        <v>327</v>
      </c>
    </row>
    <row r="42" spans="3:17" ht="14.25" customHeight="1">
      <c r="C42" t="s">
        <v>337</v>
      </c>
      <c r="D42" t="s">
        <v>363</v>
      </c>
      <c r="E42" t="s">
        <v>339</v>
      </c>
      <c r="F42" s="1" t="s">
        <v>364</v>
      </c>
      <c r="G42" t="s">
        <v>344</v>
      </c>
      <c r="K42" s="1"/>
      <c r="Q42" s="4" t="s">
        <v>328</v>
      </c>
    </row>
    <row r="43" spans="3:17" ht="14.25" customHeight="1">
      <c r="C43" t="s">
        <v>337</v>
      </c>
      <c r="D43" t="s">
        <v>367</v>
      </c>
      <c r="E43" s="2" t="s">
        <v>272</v>
      </c>
      <c r="F43" s="1" t="s">
        <v>368</v>
      </c>
      <c r="G43" t="s">
        <v>344</v>
      </c>
      <c r="K43" s="1"/>
      <c r="Q43" s="4" t="s">
        <v>330</v>
      </c>
    </row>
    <row r="44" spans="3:17" ht="14.25" customHeight="1">
      <c r="C44" t="s">
        <v>337</v>
      </c>
      <c r="D44" t="s">
        <v>349</v>
      </c>
      <c r="E44" t="s">
        <v>350</v>
      </c>
      <c r="F44" s="1" t="s">
        <v>351</v>
      </c>
      <c r="G44" t="s">
        <v>348</v>
      </c>
      <c r="K44" s="1"/>
      <c r="Q44" s="4" t="s">
        <v>320</v>
      </c>
    </row>
    <row r="45" spans="3:17" ht="14.25" customHeight="1">
      <c r="C45" t="s">
        <v>337</v>
      </c>
      <c r="D45" t="s">
        <v>5</v>
      </c>
      <c r="E45" s="2" t="s">
        <v>272</v>
      </c>
      <c r="F45" s="1" t="s">
        <v>248</v>
      </c>
      <c r="G45" t="s">
        <v>361</v>
      </c>
      <c r="K45" s="1"/>
      <c r="Q45" s="4" t="s">
        <v>324</v>
      </c>
    </row>
    <row r="46" spans="3:17" ht="14.25" customHeight="1">
      <c r="F46" s="1"/>
      <c r="K46" s="1"/>
    </row>
    <row r="47" spans="3:17" ht="14.25" customHeight="1">
      <c r="C47" t="str">
        <f>IFERROR(LEFT(Q47, FIND(" ", Q47)-1), Q47)</f>
        <v>Дубовик</v>
      </c>
      <c r="D47" t="str">
        <f>TRIM(MID(SUBSTITUTE(Q47," ",REPT(" ",99)),100,99))</f>
        <v>Александр</v>
      </c>
      <c r="E47" t="str">
        <f>TRIM(RIGHT(LEFT(Q47,FIND(CHAR(10),Q47)-1),LEN(LEFT(Q47,FIND(CHAR(10),Q47)-1))-FIND("~",SUBSTITUTE(Q47," ","~",2))))</f>
        <v>Михайлович</v>
      </c>
      <c r="F47" s="1"/>
      <c r="G47" t="s">
        <v>439</v>
      </c>
      <c r="H47" s="2" t="s">
        <v>218</v>
      </c>
      <c r="I47" t="s">
        <v>439</v>
      </c>
      <c r="J47" s="2" t="s">
        <v>218</v>
      </c>
      <c r="K47" s="1"/>
      <c r="Q47" s="4" t="s">
        <v>390</v>
      </c>
    </row>
    <row r="48" spans="3:17" ht="14.25" customHeight="1">
      <c r="C48" t="str">
        <f t="shared" ref="C48:C62" si="0">IFERROR(LEFT(Q48, FIND(" ", Q48)-1), Q48)</f>
        <v>Дубовик</v>
      </c>
      <c r="D48" t="str">
        <f t="shared" ref="D48:D62" si="1">TRIM(MID(SUBSTITUTE(Q48," ",REPT(" ",99)),100,99))</f>
        <v>Александр</v>
      </c>
      <c r="E48" t="str">
        <f t="shared" ref="E48:E62" si="2">TRIM(RIGHT(LEFT(Q48,FIND(CHAR(10),Q48)-1),LEN(LEFT(Q48,FIND(CHAR(10),Q48)-1))-FIND("~",SUBSTITUTE(Q48," ","~",2))))</f>
        <v>Павлович</v>
      </c>
      <c r="F48" s="1"/>
      <c r="G48" t="s">
        <v>440</v>
      </c>
      <c r="H48" t="s">
        <v>218</v>
      </c>
      <c r="I48" t="s">
        <v>441</v>
      </c>
      <c r="J48" t="s">
        <v>218</v>
      </c>
      <c r="K48" s="1"/>
      <c r="Q48" s="4" t="s">
        <v>391</v>
      </c>
    </row>
    <row r="49" spans="3:17" ht="14.25" customHeight="1">
      <c r="C49" t="str">
        <f t="shared" si="0"/>
        <v>Дубовик</v>
      </c>
      <c r="D49" t="str">
        <f t="shared" si="1"/>
        <v>Анатолий</v>
      </c>
      <c r="E49" t="str">
        <f t="shared" si="2"/>
        <v>Иванович</v>
      </c>
      <c r="F49" s="1"/>
      <c r="G49" t="s">
        <v>441</v>
      </c>
      <c r="H49" t="s">
        <v>218</v>
      </c>
      <c r="I49" t="s">
        <v>441</v>
      </c>
      <c r="J49" t="s">
        <v>218</v>
      </c>
      <c r="K49" s="1"/>
      <c r="Q49" s="4" t="s">
        <v>394</v>
      </c>
    </row>
    <row r="50" spans="3:17" ht="14.25" customHeight="1">
      <c r="C50" t="str">
        <f t="shared" si="0"/>
        <v>Дубовик</v>
      </c>
      <c r="D50" t="str">
        <f t="shared" si="1"/>
        <v>Василий</v>
      </c>
      <c r="E50" t="str">
        <f t="shared" si="2"/>
        <v>Григорьевич</v>
      </c>
      <c r="F50" s="1"/>
      <c r="G50" t="s">
        <v>442</v>
      </c>
      <c r="H50" t="s">
        <v>218</v>
      </c>
      <c r="I50" t="s">
        <v>492</v>
      </c>
      <c r="J50" s="2" t="s">
        <v>218</v>
      </c>
      <c r="K50" s="1"/>
      <c r="Q50" s="4" t="s">
        <v>402</v>
      </c>
    </row>
    <row r="51" spans="3:17" ht="14.25" customHeight="1">
      <c r="C51" t="str">
        <f t="shared" si="0"/>
        <v>Дубовик</v>
      </c>
      <c r="D51" t="str">
        <f t="shared" si="1"/>
        <v>Михаил</v>
      </c>
      <c r="E51" t="str">
        <f t="shared" si="2"/>
        <v>Ефимович</v>
      </c>
      <c r="F51" s="1"/>
      <c r="G51" t="s">
        <v>443</v>
      </c>
      <c r="H51" t="s">
        <v>218</v>
      </c>
      <c r="I51" s="2" t="s">
        <v>491</v>
      </c>
      <c r="J51" s="2" t="s">
        <v>483</v>
      </c>
      <c r="K51" s="1"/>
      <c r="Q51" s="4" t="s">
        <v>417</v>
      </c>
    </row>
    <row r="52" spans="3:17" ht="14.25" customHeight="1">
      <c r="C52" t="str">
        <f t="shared" si="0"/>
        <v>Дубовик</v>
      </c>
      <c r="D52" t="str">
        <f t="shared" si="1"/>
        <v>Павел</v>
      </c>
      <c r="E52" t="str">
        <f t="shared" si="2"/>
        <v>Николаевич</v>
      </c>
      <c r="F52" s="1"/>
      <c r="G52" t="s">
        <v>436</v>
      </c>
      <c r="H52" t="s">
        <v>218</v>
      </c>
      <c r="I52" t="s">
        <v>436</v>
      </c>
      <c r="J52" t="s">
        <v>218</v>
      </c>
      <c r="K52" s="1"/>
      <c r="Q52" s="4" t="s">
        <v>419</v>
      </c>
    </row>
    <row r="53" spans="3:17" ht="14.25" customHeight="1">
      <c r="C53" t="str">
        <f t="shared" si="0"/>
        <v>Дубовик</v>
      </c>
      <c r="D53" t="str">
        <f t="shared" si="1"/>
        <v>Семен</v>
      </c>
      <c r="E53" t="str">
        <f t="shared" si="2"/>
        <v>Дмитриевич</v>
      </c>
      <c r="F53" s="1"/>
      <c r="G53" t="s">
        <v>444</v>
      </c>
      <c r="H53" t="s">
        <v>218</v>
      </c>
      <c r="I53" t="s">
        <v>444</v>
      </c>
      <c r="J53" t="s">
        <v>218</v>
      </c>
      <c r="K53" s="1"/>
      <c r="Q53" s="4" t="s">
        <v>421</v>
      </c>
    </row>
    <row r="54" spans="3:17" ht="14.25" customHeight="1">
      <c r="C54" t="str">
        <f t="shared" si="0"/>
        <v>Дубовик</v>
      </c>
      <c r="D54" t="str">
        <f t="shared" si="1"/>
        <v>Степан</v>
      </c>
      <c r="E54" t="str">
        <f t="shared" si="2"/>
        <v>Данилович</v>
      </c>
      <c r="F54" s="1"/>
      <c r="G54" t="s">
        <v>445</v>
      </c>
      <c r="H54" t="s">
        <v>218</v>
      </c>
      <c r="I54" t="s">
        <v>445</v>
      </c>
      <c r="J54" t="s">
        <v>218</v>
      </c>
      <c r="K54" s="1"/>
      <c r="Q54" s="4" t="s">
        <v>423</v>
      </c>
    </row>
    <row r="55" spans="3:17" ht="14.25" customHeight="1">
      <c r="C55" t="str">
        <f t="shared" si="0"/>
        <v>Дубовик</v>
      </c>
      <c r="D55" t="str">
        <f t="shared" si="1"/>
        <v>Адольф</v>
      </c>
      <c r="E55" t="str">
        <f t="shared" si="2"/>
        <v>Доминикович</v>
      </c>
      <c r="F55" s="1"/>
      <c r="G55" s="2" t="s">
        <v>432</v>
      </c>
      <c r="H55" s="2" t="s">
        <v>433</v>
      </c>
      <c r="I55" s="2" t="s">
        <v>475</v>
      </c>
      <c r="J55" s="2" t="s">
        <v>438</v>
      </c>
      <c r="K55" s="1"/>
      <c r="Q55" s="4" t="s">
        <v>388</v>
      </c>
    </row>
    <row r="56" spans="3:17" ht="14.25" customHeight="1">
      <c r="C56" t="str">
        <f t="shared" si="0"/>
        <v>Дубовик</v>
      </c>
      <c r="D56" t="str">
        <f t="shared" si="1"/>
        <v>Адам</v>
      </c>
      <c r="E56" t="str">
        <f t="shared" si="2"/>
        <v>Ефимович</v>
      </c>
      <c r="F56" s="1"/>
      <c r="G56" s="2" t="s">
        <v>431</v>
      </c>
      <c r="H56" s="2" t="s">
        <v>216</v>
      </c>
      <c r="I56" s="2" t="s">
        <v>491</v>
      </c>
      <c r="J56" s="2" t="s">
        <v>483</v>
      </c>
      <c r="K56" s="1"/>
      <c r="Q56" s="4" t="s">
        <v>387</v>
      </c>
    </row>
    <row r="57" spans="3:17" ht="14.25" customHeight="1">
      <c r="C57" t="str">
        <f t="shared" si="0"/>
        <v>Дубовик</v>
      </c>
      <c r="D57" t="str">
        <f t="shared" si="1"/>
        <v>Степан</v>
      </c>
      <c r="E57" t="str">
        <f t="shared" si="2"/>
        <v>Данилович</v>
      </c>
      <c r="F57" s="1"/>
      <c r="G57" t="s">
        <v>446</v>
      </c>
      <c r="H57" s="2" t="s">
        <v>437</v>
      </c>
      <c r="I57" t="s">
        <v>446</v>
      </c>
      <c r="J57" s="2" t="s">
        <v>437</v>
      </c>
      <c r="K57" s="1"/>
      <c r="Q57" s="4" t="s">
        <v>424</v>
      </c>
    </row>
    <row r="58" spans="3:17" ht="14.25" customHeight="1">
      <c r="C58" t="str">
        <f t="shared" si="0"/>
        <v>Дубовик</v>
      </c>
      <c r="D58" t="str">
        <f t="shared" si="1"/>
        <v>Федор</v>
      </c>
      <c r="E58" t="str">
        <f t="shared" si="2"/>
        <v>Прокофьевич</v>
      </c>
      <c r="F58" s="1"/>
      <c r="G58" t="s">
        <v>447</v>
      </c>
      <c r="H58" t="s">
        <v>216</v>
      </c>
      <c r="I58" t="s">
        <v>490</v>
      </c>
      <c r="J58" s="2" t="s">
        <v>495</v>
      </c>
      <c r="K58" s="1"/>
      <c r="Q58" s="4" t="s">
        <v>425</v>
      </c>
    </row>
    <row r="59" spans="3:17" ht="14.25" customHeight="1">
      <c r="C59" t="str">
        <f t="shared" si="0"/>
        <v>Дубовик</v>
      </c>
      <c r="D59" t="str">
        <f t="shared" si="1"/>
        <v>Александр</v>
      </c>
      <c r="E59" t="str">
        <f t="shared" si="2"/>
        <v>Андреевич</v>
      </c>
      <c r="F59" s="1"/>
      <c r="G59" t="s">
        <v>434</v>
      </c>
      <c r="H59" t="s">
        <v>435</v>
      </c>
      <c r="I59" s="2" t="s">
        <v>482</v>
      </c>
      <c r="J59" s="2" t="s">
        <v>483</v>
      </c>
      <c r="K59" s="1"/>
      <c r="Q59" s="4" t="s">
        <v>389</v>
      </c>
    </row>
    <row r="60" spans="3:17" ht="14.25" customHeight="1">
      <c r="C60" t="str">
        <f t="shared" si="0"/>
        <v>Дубовик</v>
      </c>
      <c r="D60" t="str">
        <f t="shared" si="1"/>
        <v>Александр</v>
      </c>
      <c r="E60" t="str">
        <f t="shared" si="2"/>
        <v>Романович</v>
      </c>
      <c r="F60" s="1"/>
      <c r="G60" s="2" t="s">
        <v>521</v>
      </c>
      <c r="H60" t="s">
        <v>435</v>
      </c>
      <c r="I60" s="2" t="s">
        <v>6</v>
      </c>
      <c r="K60" s="1"/>
      <c r="Q60" s="4" t="s">
        <v>392</v>
      </c>
    </row>
    <row r="61" spans="3:17" ht="14.25" customHeight="1">
      <c r="C61" t="str">
        <f t="shared" si="0"/>
        <v>Дубовик</v>
      </c>
      <c r="D61" t="str">
        <f t="shared" si="1"/>
        <v>Александра</v>
      </c>
      <c r="E61" t="str">
        <f t="shared" si="2"/>
        <v>Тарасовна</v>
      </c>
      <c r="F61" s="1"/>
      <c r="H61" t="s">
        <v>435</v>
      </c>
      <c r="I61" s="2" t="s">
        <v>489</v>
      </c>
      <c r="K61" s="1"/>
      <c r="Q61" s="4" t="s">
        <v>393</v>
      </c>
    </row>
    <row r="62" spans="3:17" ht="14.25" customHeight="1">
      <c r="C62" t="str">
        <f t="shared" si="0"/>
        <v>Дубовик</v>
      </c>
      <c r="D62" t="str">
        <f t="shared" si="1"/>
        <v>Анатолий</v>
      </c>
      <c r="E62" t="str">
        <f t="shared" si="2"/>
        <v>Иосифович</v>
      </c>
      <c r="F62" s="1"/>
      <c r="H62" t="s">
        <v>435</v>
      </c>
      <c r="I62" s="2" t="s">
        <v>489</v>
      </c>
      <c r="K62" s="1"/>
      <c r="Q62" s="4" t="s">
        <v>395</v>
      </c>
    </row>
    <row r="63" spans="3:17" ht="14.25" customHeight="1">
      <c r="C63" t="str">
        <f t="shared" ref="C63:C78" si="3">IFERROR(LEFT(Q63, FIND(" ", Q63)-1), Q63)</f>
        <v>Дубовик</v>
      </c>
      <c r="D63" t="str">
        <f t="shared" ref="D63:D78" si="4">TRIM(MID(SUBSTITUTE(Q63," ",REPT(" ",99)),100,99))</f>
        <v>Василий</v>
      </c>
      <c r="E63" t="str">
        <f t="shared" ref="E63:E78" si="5">TRIM(RIGHT(LEFT(Q63,FIND(CHAR(10),Q63)-1),LEN(LEFT(Q63,FIND(CHAR(10),Q63)-1))-FIND("~",SUBSTITUTE(Q63," ","~",2))))</f>
        <v>Яковлевич</v>
      </c>
      <c r="F63" s="1"/>
      <c r="G63" t="s">
        <v>448</v>
      </c>
      <c r="H63" t="s">
        <v>435</v>
      </c>
      <c r="I63" t="s">
        <v>6</v>
      </c>
      <c r="K63" s="1"/>
      <c r="Q63" s="4" t="s">
        <v>403</v>
      </c>
    </row>
    <row r="64" spans="3:17" ht="14.25" customHeight="1">
      <c r="C64" t="str">
        <f t="shared" si="3"/>
        <v>Дубовик</v>
      </c>
      <c r="D64" t="str">
        <f t="shared" si="4"/>
        <v>Гавриил</v>
      </c>
      <c r="E64" t="str">
        <f t="shared" si="5"/>
        <v>Игнатьевич</v>
      </c>
      <c r="F64" s="1"/>
      <c r="G64" t="s">
        <v>449</v>
      </c>
      <c r="H64" t="s">
        <v>435</v>
      </c>
      <c r="I64" t="s">
        <v>488</v>
      </c>
      <c r="J64" s="2" t="s">
        <v>437</v>
      </c>
      <c r="K64" s="1"/>
      <c r="Q64" s="4" t="s">
        <v>404</v>
      </c>
    </row>
    <row r="65" spans="3:17" ht="14.25" customHeight="1">
      <c r="C65" t="str">
        <f t="shared" si="3"/>
        <v>Дубовик</v>
      </c>
      <c r="D65" t="str">
        <f t="shared" si="4"/>
        <v>Иван</v>
      </c>
      <c r="E65" t="str">
        <f t="shared" si="5"/>
        <v>Семенович</v>
      </c>
      <c r="F65" s="1"/>
      <c r="G65" s="2" t="s">
        <v>448</v>
      </c>
      <c r="H65" t="s">
        <v>435</v>
      </c>
      <c r="I65" t="s">
        <v>487</v>
      </c>
      <c r="J65" t="s">
        <v>435</v>
      </c>
      <c r="K65" s="1"/>
      <c r="Q65" s="4" t="s">
        <v>406</v>
      </c>
    </row>
    <row r="66" spans="3:17" ht="14.25" customHeight="1">
      <c r="C66" t="str">
        <f t="shared" si="3"/>
        <v>Дубовик</v>
      </c>
      <c r="D66" t="str">
        <f t="shared" si="4"/>
        <v>Иван</v>
      </c>
      <c r="E66" t="str">
        <f t="shared" si="5"/>
        <v>Тимофеевич</v>
      </c>
      <c r="F66" s="1"/>
      <c r="G66" t="s">
        <v>450</v>
      </c>
      <c r="H66" t="s">
        <v>435</v>
      </c>
      <c r="I66" t="s">
        <v>486</v>
      </c>
      <c r="J66" t="s">
        <v>484</v>
      </c>
      <c r="K66" s="1"/>
      <c r="Q66" s="4" t="s">
        <v>407</v>
      </c>
    </row>
    <row r="67" spans="3:17" ht="14.25" customHeight="1">
      <c r="C67" t="str">
        <f t="shared" si="3"/>
        <v>Дубовик</v>
      </c>
      <c r="D67" t="str">
        <f t="shared" si="4"/>
        <v>Иосиф</v>
      </c>
      <c r="E67" t="str">
        <f t="shared" si="5"/>
        <v>Денисович</v>
      </c>
      <c r="F67" s="1"/>
      <c r="G67" t="s">
        <v>451</v>
      </c>
      <c r="H67" t="s">
        <v>435</v>
      </c>
      <c r="I67" t="s">
        <v>485</v>
      </c>
      <c r="J67" t="s">
        <v>484</v>
      </c>
      <c r="K67" s="1"/>
      <c r="Q67" s="4" t="s">
        <v>408</v>
      </c>
    </row>
    <row r="68" spans="3:17" ht="14.25" customHeight="1">
      <c r="C68" t="str">
        <f t="shared" si="3"/>
        <v>Дубовик</v>
      </c>
      <c r="D68" t="str">
        <f t="shared" si="4"/>
        <v>Иосиф</v>
      </c>
      <c r="E68" t="str">
        <f t="shared" si="5"/>
        <v>Игнатьевич</v>
      </c>
      <c r="F68" s="1"/>
      <c r="H68" t="s">
        <v>435</v>
      </c>
      <c r="I68" s="2" t="s">
        <v>489</v>
      </c>
      <c r="K68" s="1"/>
      <c r="Q68" s="4" t="s">
        <v>410</v>
      </c>
    </row>
    <row r="69" spans="3:17" ht="14.25" customHeight="1">
      <c r="C69" t="str">
        <f t="shared" si="3"/>
        <v>Дубовик</v>
      </c>
      <c r="D69" t="str">
        <f t="shared" si="4"/>
        <v>Мария</v>
      </c>
      <c r="E69" t="str">
        <f t="shared" si="5"/>
        <v>Иосифовна</v>
      </c>
      <c r="F69" s="1"/>
      <c r="H69" t="s">
        <v>435</v>
      </c>
      <c r="I69" s="2" t="s">
        <v>489</v>
      </c>
      <c r="K69" s="1"/>
      <c r="Q69" s="4" t="s">
        <v>412</v>
      </c>
    </row>
    <row r="70" spans="3:17" ht="14.25" customHeight="1">
      <c r="C70" t="str">
        <f t="shared" si="3"/>
        <v>Дубовик</v>
      </c>
      <c r="D70" t="str">
        <f t="shared" si="4"/>
        <v>Михаил</v>
      </c>
      <c r="E70" t="str">
        <f t="shared" si="5"/>
        <v>Андреевич</v>
      </c>
      <c r="F70" s="1"/>
      <c r="G70" s="2" t="s">
        <v>449</v>
      </c>
      <c r="H70" t="s">
        <v>435</v>
      </c>
      <c r="I70" t="s">
        <v>482</v>
      </c>
      <c r="J70" s="2" t="s">
        <v>483</v>
      </c>
      <c r="K70" s="1"/>
      <c r="Q70" s="4" t="s">
        <v>415</v>
      </c>
    </row>
    <row r="71" spans="3:17" ht="14.25" customHeight="1">
      <c r="C71" t="str">
        <f t="shared" si="3"/>
        <v>Дубовик</v>
      </c>
      <c r="D71" t="str">
        <f t="shared" si="4"/>
        <v>Петр</v>
      </c>
      <c r="E71" t="str">
        <f t="shared" si="5"/>
        <v>Иосифович</v>
      </c>
      <c r="F71" s="1"/>
      <c r="H71" t="s">
        <v>435</v>
      </c>
      <c r="I71" s="2" t="s">
        <v>489</v>
      </c>
      <c r="K71" s="1"/>
      <c r="Q71" s="4" t="s">
        <v>420</v>
      </c>
    </row>
    <row r="72" spans="3:17" ht="14.25" customHeight="1">
      <c r="C72" t="str">
        <f t="shared" si="3"/>
        <v>Дубовик</v>
      </c>
      <c r="D72" t="str">
        <f t="shared" si="4"/>
        <v>Семен</v>
      </c>
      <c r="E72" t="str">
        <f t="shared" si="5"/>
        <v>Семенович</v>
      </c>
      <c r="F72" s="1"/>
      <c r="G72" s="2" t="s">
        <v>448</v>
      </c>
      <c r="H72" t="s">
        <v>435</v>
      </c>
      <c r="I72" s="2" t="s">
        <v>448</v>
      </c>
      <c r="J72" t="s">
        <v>435</v>
      </c>
      <c r="K72" s="1"/>
      <c r="Q72" s="4" t="s">
        <v>422</v>
      </c>
    </row>
    <row r="73" spans="3:17" ht="14.25" customHeight="1">
      <c r="C73" t="str">
        <f t="shared" si="3"/>
        <v>Дубовик</v>
      </c>
      <c r="D73" t="str">
        <f t="shared" si="4"/>
        <v>Федор</v>
      </c>
      <c r="E73" t="str">
        <f t="shared" si="5"/>
        <v>Филиппович</v>
      </c>
      <c r="F73" s="1"/>
      <c r="G73" t="s">
        <v>452</v>
      </c>
      <c r="H73" t="s">
        <v>435</v>
      </c>
      <c r="I73" t="s">
        <v>452</v>
      </c>
      <c r="J73" t="s">
        <v>435</v>
      </c>
      <c r="K73" s="1"/>
      <c r="Q73" s="4" t="s">
        <v>426</v>
      </c>
    </row>
    <row r="74" spans="3:17" ht="14.25" customHeight="1">
      <c r="C74" t="str">
        <f t="shared" si="3"/>
        <v>Дубовик</v>
      </c>
      <c r="D74" t="str">
        <f t="shared" si="4"/>
        <v>Хрисанф</v>
      </c>
      <c r="E74" t="str">
        <f t="shared" si="5"/>
        <v>Иванович</v>
      </c>
      <c r="F74" s="1"/>
      <c r="G74" s="2" t="s">
        <v>453</v>
      </c>
      <c r="H74" t="s">
        <v>435</v>
      </c>
      <c r="I74" s="2" t="s">
        <v>481</v>
      </c>
      <c r="J74" s="2" t="s">
        <v>435</v>
      </c>
      <c r="Q74" s="4" t="s">
        <v>428</v>
      </c>
    </row>
    <row r="75" spans="3:17" ht="14.25" customHeight="1">
      <c r="C75" t="str">
        <f t="shared" si="3"/>
        <v>Дубовик</v>
      </c>
      <c r="D75" t="str">
        <f t="shared" si="4"/>
        <v>Яков</v>
      </c>
      <c r="E75" t="str">
        <f t="shared" si="5"/>
        <v>Степанович</v>
      </c>
      <c r="F75" s="1"/>
      <c r="G75" t="s">
        <v>454</v>
      </c>
      <c r="H75" t="s">
        <v>435</v>
      </c>
      <c r="I75" t="s">
        <v>480</v>
      </c>
      <c r="J75" s="2" t="s">
        <v>179</v>
      </c>
      <c r="Q75" s="4" t="s">
        <v>429</v>
      </c>
    </row>
    <row r="76" spans="3:17" ht="14.25" customHeight="1">
      <c r="C76" t="str">
        <f t="shared" si="3"/>
        <v>Дубовик</v>
      </c>
      <c r="D76" t="str">
        <f t="shared" si="4"/>
        <v>Антон</v>
      </c>
      <c r="E76" t="str">
        <f t="shared" si="5"/>
        <v>Герасимович</v>
      </c>
      <c r="G76" t="s">
        <v>444</v>
      </c>
      <c r="H76" t="s">
        <v>216</v>
      </c>
      <c r="I76" t="s">
        <v>479</v>
      </c>
      <c r="J76" t="s">
        <v>216</v>
      </c>
      <c r="Q76" s="4" t="s">
        <v>396</v>
      </c>
    </row>
    <row r="77" spans="3:17" ht="14.25" customHeight="1">
      <c r="C77" t="str">
        <f t="shared" si="3"/>
        <v>Дубовик</v>
      </c>
      <c r="D77" t="str">
        <f t="shared" si="4"/>
        <v>Антон</v>
      </c>
      <c r="E77" t="str">
        <f t="shared" si="5"/>
        <v>Доминикович</v>
      </c>
      <c r="F77" s="1"/>
      <c r="G77" t="s">
        <v>455</v>
      </c>
      <c r="H77" t="s">
        <v>433</v>
      </c>
      <c r="I77" t="s">
        <v>475</v>
      </c>
      <c r="J77" s="2" t="s">
        <v>179</v>
      </c>
      <c r="K77" s="1"/>
      <c r="Q77" s="4" t="s">
        <v>397</v>
      </c>
    </row>
    <row r="78" spans="3:17" ht="14.25" customHeight="1">
      <c r="C78" t="str">
        <f t="shared" si="3"/>
        <v>Дубовик</v>
      </c>
      <c r="D78" t="str">
        <f t="shared" si="4"/>
        <v>Антон</v>
      </c>
      <c r="E78" t="str">
        <f t="shared" si="5"/>
        <v>Лукич</v>
      </c>
      <c r="F78" s="1"/>
      <c r="G78" t="s">
        <v>457</v>
      </c>
      <c r="H78" t="s">
        <v>216</v>
      </c>
      <c r="I78" s="2" t="s">
        <v>6</v>
      </c>
      <c r="K78" s="1"/>
      <c r="Q78" s="4" t="s">
        <v>398</v>
      </c>
    </row>
    <row r="79" spans="3:17" ht="14.25" customHeight="1">
      <c r="C79" t="str">
        <f>IFERROR(LEFT(Q79, FIND(" ", Q79)-1), Q79)</f>
        <v>Дубовик</v>
      </c>
      <c r="D79" t="str">
        <f>TRIM(MID(SUBSTITUTE(Q79," ",REPT(" ",99)),100,99))</f>
        <v>Антон</v>
      </c>
      <c r="E79" t="str">
        <f>TRIM(RIGHT(LEFT(Q79,FIND(CHAR(10),Q79)-1),LEN(LEFT(Q79,FIND(CHAR(10),Q79)-1))-FIND("~",SUBSTITUTE(Q79," ","~",2))))</f>
        <v>Поликарпович</v>
      </c>
      <c r="F79" s="1"/>
      <c r="G79" t="s">
        <v>456</v>
      </c>
      <c r="H79" t="s">
        <v>216</v>
      </c>
      <c r="I79" t="s">
        <v>456</v>
      </c>
      <c r="J79" t="s">
        <v>216</v>
      </c>
      <c r="K79" s="1"/>
      <c r="Q79" s="4" t="s">
        <v>399</v>
      </c>
    </row>
    <row r="80" spans="3:17" ht="14.25" customHeight="1">
      <c r="C80" t="str">
        <f t="shared" ref="C80:C89" si="6">IFERROR(LEFT(Q80, FIND(" ", Q80)-1), Q80)</f>
        <v>Дубовик</v>
      </c>
      <c r="D80" t="str">
        <f t="shared" ref="D80:D89" si="7">TRIM(MID(SUBSTITUTE(Q80," ",REPT(" ",99)),100,99))</f>
        <v>Аркадий</v>
      </c>
      <c r="E80" t="str">
        <f t="shared" ref="E80:E89" si="8">TRIM(RIGHT(LEFT(Q80,FIND(CHAR(10),Q80)-1),LEN(LEFT(Q80,FIND(CHAR(10),Q80)-1))-FIND("~",SUBSTITUTE(Q80," ","~",2))))</f>
        <v>Антонович</v>
      </c>
      <c r="F80" s="1"/>
      <c r="G80" t="s">
        <v>458</v>
      </c>
      <c r="H80" t="s">
        <v>216</v>
      </c>
      <c r="I80" t="s">
        <v>473</v>
      </c>
      <c r="J80" t="s">
        <v>474</v>
      </c>
      <c r="K80" s="1"/>
      <c r="Q80" s="4" t="s">
        <v>400</v>
      </c>
    </row>
    <row r="81" spans="3:17" ht="14.25" customHeight="1">
      <c r="C81" t="str">
        <f t="shared" si="6"/>
        <v>Дубовик</v>
      </c>
      <c r="D81" t="str">
        <f t="shared" si="7"/>
        <v>Болеслав</v>
      </c>
      <c r="E81" t="str">
        <f t="shared" si="8"/>
        <v>Антонович</v>
      </c>
      <c r="F81" s="1"/>
      <c r="G81" t="s">
        <v>432</v>
      </c>
      <c r="H81" t="s">
        <v>433</v>
      </c>
      <c r="I81" t="s">
        <v>472</v>
      </c>
      <c r="K81" s="1"/>
      <c r="Q81" s="4" t="s">
        <v>401</v>
      </c>
    </row>
    <row r="82" spans="3:17" ht="14.25" customHeight="1">
      <c r="C82" t="str">
        <f t="shared" si="6"/>
        <v>Дубовик</v>
      </c>
      <c r="D82" t="str">
        <f t="shared" si="7"/>
        <v>Дмитрий</v>
      </c>
      <c r="E82" t="str">
        <f t="shared" si="8"/>
        <v>Игнатьевич</v>
      </c>
      <c r="F82" s="1"/>
      <c r="G82" t="s">
        <v>459</v>
      </c>
      <c r="H82" s="2" t="s">
        <v>461</v>
      </c>
      <c r="I82" t="s">
        <v>459</v>
      </c>
      <c r="J82" s="2" t="s">
        <v>461</v>
      </c>
      <c r="K82" s="1"/>
      <c r="Q82" s="4" t="s">
        <v>405</v>
      </c>
    </row>
    <row r="83" spans="3:17" ht="14.25" customHeight="1">
      <c r="C83" t="str">
        <f t="shared" si="6"/>
        <v>Дубовик</v>
      </c>
      <c r="D83" t="str">
        <f t="shared" si="7"/>
        <v>Иосиф</v>
      </c>
      <c r="E83" t="str">
        <f t="shared" si="8"/>
        <v>Ефимович</v>
      </c>
      <c r="F83" s="1"/>
      <c r="H83" s="2" t="s">
        <v>438</v>
      </c>
      <c r="I83" s="2"/>
      <c r="J83" s="2"/>
      <c r="K83" s="1"/>
      <c r="Q83" s="4" t="s">
        <v>409</v>
      </c>
    </row>
    <row r="84" spans="3:17" ht="14.25" customHeight="1">
      <c r="C84" t="str">
        <f t="shared" si="6"/>
        <v>Дубовик</v>
      </c>
      <c r="D84" t="str">
        <f t="shared" si="7"/>
        <v>Леопольд</v>
      </c>
      <c r="E84" t="str">
        <f t="shared" si="8"/>
        <v>Антонович</v>
      </c>
      <c r="F84" s="5"/>
      <c r="G84" s="5" t="s">
        <v>432</v>
      </c>
      <c r="H84" s="5" t="s">
        <v>438</v>
      </c>
      <c r="I84" s="5" t="s">
        <v>471</v>
      </c>
      <c r="J84" s="5"/>
      <c r="K84" s="5"/>
      <c r="L84" s="5"/>
      <c r="M84" s="5"/>
      <c r="N84" s="5"/>
      <c r="Q84" s="4" t="s">
        <v>411</v>
      </c>
    </row>
    <row r="85" spans="3:17" ht="14.25" customHeight="1">
      <c r="C85" t="str">
        <f t="shared" si="6"/>
        <v>Дубовик</v>
      </c>
      <c r="D85" t="str">
        <f t="shared" si="7"/>
        <v>Мария</v>
      </c>
      <c r="E85" t="str">
        <f t="shared" si="8"/>
        <v>Петровна</v>
      </c>
      <c r="F85" s="5"/>
      <c r="G85" s="5" t="s">
        <v>468</v>
      </c>
      <c r="H85" s="5" t="s">
        <v>179</v>
      </c>
      <c r="I85" s="5" t="s">
        <v>470</v>
      </c>
      <c r="J85" s="5" t="s">
        <v>179</v>
      </c>
      <c r="K85" s="5"/>
      <c r="L85" s="5"/>
      <c r="M85" s="5"/>
      <c r="N85" s="5"/>
      <c r="Q85" s="4" t="s">
        <v>413</v>
      </c>
    </row>
    <row r="86" spans="3:17" ht="14.25" customHeight="1">
      <c r="C86" t="str">
        <f t="shared" si="6"/>
        <v>Дубовик</v>
      </c>
      <c r="D86" t="str">
        <f t="shared" si="7"/>
        <v>Матвей</v>
      </c>
      <c r="E86" t="str">
        <f t="shared" si="8"/>
        <v>Федорович</v>
      </c>
      <c r="F86" s="5"/>
      <c r="G86" s="5" t="s">
        <v>467</v>
      </c>
      <c r="H86" s="5" t="s">
        <v>216</v>
      </c>
      <c r="I86" s="5" t="s">
        <v>467</v>
      </c>
      <c r="J86" s="5" t="s">
        <v>216</v>
      </c>
      <c r="K86" s="5"/>
      <c r="L86" s="5"/>
      <c r="M86" s="5"/>
      <c r="N86" s="5"/>
      <c r="Q86" s="4" t="s">
        <v>414</v>
      </c>
    </row>
    <row r="87" spans="3:17" ht="14.25" customHeight="1">
      <c r="C87" t="str">
        <f t="shared" si="6"/>
        <v>Дубовик</v>
      </c>
      <c r="D87" t="str">
        <f t="shared" si="7"/>
        <v>Михаил</v>
      </c>
      <c r="E87" t="str">
        <f t="shared" si="8"/>
        <v>Васильевич</v>
      </c>
      <c r="F87" s="5"/>
      <c r="G87" s="5" t="s">
        <v>466</v>
      </c>
      <c r="H87" s="5" t="s">
        <v>218</v>
      </c>
      <c r="I87" s="5" t="s">
        <v>466</v>
      </c>
      <c r="J87" s="5" t="s">
        <v>218</v>
      </c>
      <c r="K87" s="5"/>
      <c r="L87" s="5"/>
      <c r="M87" s="5"/>
      <c r="N87" s="5"/>
      <c r="Q87" s="4" t="s">
        <v>416</v>
      </c>
    </row>
    <row r="88" spans="3:17" ht="14.25" customHeight="1">
      <c r="C88" t="str">
        <f t="shared" si="6"/>
        <v>Дубовик</v>
      </c>
      <c r="D88" t="str">
        <f t="shared" si="7"/>
        <v>Михаил</v>
      </c>
      <c r="E88" t="str">
        <f t="shared" si="8"/>
        <v>Леонтьевич</v>
      </c>
      <c r="F88" s="5"/>
      <c r="G88" s="5" t="s">
        <v>476</v>
      </c>
      <c r="H88" s="5" t="s">
        <v>179</v>
      </c>
      <c r="I88" s="5" t="s">
        <v>476</v>
      </c>
      <c r="J88" s="5" t="s">
        <v>179</v>
      </c>
      <c r="K88" s="5"/>
      <c r="L88" s="5"/>
      <c r="M88" s="5"/>
      <c r="N88" s="5"/>
      <c r="Q88" s="4" t="s">
        <v>418</v>
      </c>
    </row>
    <row r="89" spans="3:17" ht="14.25" customHeight="1">
      <c r="C89" t="str">
        <f t="shared" si="6"/>
        <v>Дубовик</v>
      </c>
      <c r="D89" t="str">
        <f t="shared" si="7"/>
        <v>Федор</v>
      </c>
      <c r="E89" t="str">
        <f t="shared" si="8"/>
        <v>Яковлевич</v>
      </c>
      <c r="F89" s="5"/>
      <c r="G89" s="5" t="s">
        <v>478</v>
      </c>
      <c r="H89" s="5" t="s">
        <v>437</v>
      </c>
      <c r="I89" s="5" t="s">
        <v>477</v>
      </c>
      <c r="J89" s="5"/>
      <c r="K89" s="5"/>
      <c r="L89" s="5"/>
      <c r="M89" s="5"/>
      <c r="N89" s="5"/>
      <c r="Q89" s="4" t="s">
        <v>427</v>
      </c>
    </row>
    <row r="90" spans="3:17" ht="14.25" customHeight="1">
      <c r="C90" t="str">
        <f>IFERROR(LEFT(Q90, FIND(" ", Q90)-1), Q90)</f>
        <v>Дубовик</v>
      </c>
      <c r="D90" t="str">
        <f>TRIM(MID(SUBSTITUTE(Q90," ",REPT(" ",99)),100,99))</f>
        <v>Александр</v>
      </c>
      <c r="E90" t="str">
        <f>TRIM(RIGHT(LEFT(Q90,FIND(CHAR(10),Q90)-1),LEN(LEFT(Q90,FIND(CHAR(10),Q90)-1))-FIND("~",SUBSTITUTE(Q90," ","~",2))))</f>
        <v>Павлович</v>
      </c>
      <c r="F90" s="5"/>
      <c r="G90" s="5" t="s">
        <v>465</v>
      </c>
      <c r="H90" s="5" t="s">
        <v>461</v>
      </c>
      <c r="I90" s="5" t="s">
        <v>465</v>
      </c>
      <c r="J90" s="5" t="s">
        <v>461</v>
      </c>
      <c r="K90" s="5"/>
      <c r="L90" s="5"/>
      <c r="M90" s="5"/>
      <c r="N90" s="5"/>
      <c r="Q90" s="4" t="s">
        <v>460</v>
      </c>
    </row>
    <row r="91" spans="3:17" ht="14.25" customHeight="1">
      <c r="C91" t="str">
        <f t="shared" ref="C91:C92" si="9">IFERROR(LEFT(Q91, FIND(" ", Q91)-1), Q91)</f>
        <v>Дубовик</v>
      </c>
      <c r="D91" t="str">
        <f t="shared" ref="D91:D92" si="10">TRIM(MID(SUBSTITUTE(Q91," ",REPT(" ",99)),100,99))</f>
        <v>Виктор</v>
      </c>
      <c r="E91" t="str">
        <f t="shared" ref="E91:E92" si="11">TRIM(RIGHT(LEFT(Q91,FIND(CHAR(10),Q91)-1),LEN(LEFT(Q91,FIND(CHAR(10),Q91)-1))-FIND("~",SUBSTITUTE(Q91," ","~",2))))</f>
        <v>Антонович</v>
      </c>
      <c r="F91" s="5"/>
      <c r="G91" s="5" t="s">
        <v>463</v>
      </c>
      <c r="H91" s="5" t="s">
        <v>461</v>
      </c>
      <c r="I91" s="5" t="s">
        <v>493</v>
      </c>
      <c r="J91" s="5" t="s">
        <v>494</v>
      </c>
      <c r="K91" s="5"/>
      <c r="L91" s="5"/>
      <c r="M91" s="5"/>
      <c r="N91" s="5"/>
      <c r="Q91" s="4" t="s">
        <v>462</v>
      </c>
    </row>
    <row r="92" spans="3:17" ht="14.25" customHeight="1">
      <c r="C92" t="str">
        <f t="shared" si="9"/>
        <v>Дубовик</v>
      </c>
      <c r="D92" t="str">
        <f t="shared" si="10"/>
        <v>Иван</v>
      </c>
      <c r="E92" t="str">
        <f t="shared" si="11"/>
        <v>Игнатьевич</v>
      </c>
      <c r="F92" s="5"/>
      <c r="G92" s="5" t="s">
        <v>459</v>
      </c>
      <c r="H92" s="5" t="s">
        <v>461</v>
      </c>
      <c r="I92" s="5" t="s">
        <v>459</v>
      </c>
      <c r="J92" s="5" t="s">
        <v>461</v>
      </c>
      <c r="K92" s="5"/>
      <c r="L92" s="5"/>
      <c r="M92" s="5"/>
      <c r="N92" s="5"/>
      <c r="Q92" s="4" t="s">
        <v>464</v>
      </c>
    </row>
    <row r="93" spans="3:17" ht="14.25" customHeight="1">
      <c r="F93" s="5"/>
      <c r="G93" s="5"/>
      <c r="H93" s="5"/>
      <c r="I93" s="5"/>
      <c r="J93" s="5"/>
      <c r="K93" s="5"/>
      <c r="L93" s="5"/>
      <c r="M93" s="5"/>
      <c r="N93" s="5"/>
    </row>
    <row r="94" spans="3:17" ht="14.25" customHeight="1">
      <c r="C94" s="2" t="s">
        <v>2</v>
      </c>
      <c r="D94" s="2" t="s">
        <v>5</v>
      </c>
      <c r="E94" s="2" t="s">
        <v>498</v>
      </c>
      <c r="F94" s="5">
        <v>1902</v>
      </c>
      <c r="G94" s="5" t="s">
        <v>499</v>
      </c>
      <c r="H94" s="5"/>
      <c r="I94" s="5"/>
      <c r="J94" s="5"/>
      <c r="K94" s="5"/>
      <c r="L94" s="5"/>
      <c r="M94" s="5"/>
      <c r="N94" s="5"/>
      <c r="Q94" s="4" t="s">
        <v>500</v>
      </c>
    </row>
    <row r="95" spans="3:17" ht="14.25" customHeight="1">
      <c r="C95" s="2" t="s">
        <v>2</v>
      </c>
      <c r="D95" s="2" t="s">
        <v>501</v>
      </c>
      <c r="E95" s="2" t="s">
        <v>251</v>
      </c>
      <c r="F95" s="5" t="s">
        <v>502</v>
      </c>
      <c r="G95" s="5" t="s">
        <v>503</v>
      </c>
      <c r="H95" s="5" t="s">
        <v>179</v>
      </c>
      <c r="I95" s="5"/>
      <c r="J95" s="5"/>
      <c r="K95" s="5" t="s">
        <v>507</v>
      </c>
      <c r="L95" s="5"/>
      <c r="M95" s="5"/>
      <c r="N95" s="5"/>
      <c r="Q95" s="6" t="s">
        <v>504</v>
      </c>
    </row>
    <row r="96" spans="3:17" ht="14.25" customHeight="1">
      <c r="C96" s="2" t="s">
        <v>2</v>
      </c>
      <c r="D96" s="2" t="s">
        <v>506</v>
      </c>
      <c r="E96" s="2" t="s">
        <v>498</v>
      </c>
      <c r="F96" s="5" t="s">
        <v>508</v>
      </c>
      <c r="G96" s="5" t="s">
        <v>446</v>
      </c>
      <c r="H96" s="5" t="s">
        <v>216</v>
      </c>
      <c r="I96" s="5"/>
      <c r="J96" s="5"/>
      <c r="K96" s="5"/>
      <c r="L96" s="5"/>
      <c r="M96" s="5"/>
      <c r="N96" s="5"/>
      <c r="Q96" s="6" t="s">
        <v>505</v>
      </c>
    </row>
    <row r="97" spans="2:17" ht="14.25" customHeight="1">
      <c r="F97" s="5"/>
      <c r="G97" s="5"/>
      <c r="H97" s="5"/>
      <c r="I97" s="5"/>
      <c r="J97" s="5"/>
      <c r="K97" s="5"/>
      <c r="L97" s="5"/>
      <c r="M97" s="5"/>
      <c r="N97" s="5"/>
    </row>
    <row r="98" spans="2:17" ht="14.25" customHeight="1">
      <c r="C98" s="2" t="s">
        <v>522</v>
      </c>
      <c r="D98" s="2" t="s">
        <v>523</v>
      </c>
      <c r="E98" s="2" t="s">
        <v>272</v>
      </c>
      <c r="F98" s="5" t="s">
        <v>524</v>
      </c>
      <c r="G98" s="5" t="s">
        <v>101</v>
      </c>
      <c r="H98" s="5" t="s">
        <v>525</v>
      </c>
      <c r="I98" s="5"/>
      <c r="J98" s="5"/>
      <c r="K98" s="5"/>
      <c r="L98" s="5"/>
      <c r="M98" s="5"/>
      <c r="N98" s="5"/>
      <c r="Q98" t="s">
        <v>52</v>
      </c>
    </row>
    <row r="99" spans="2:17" ht="14.25" customHeight="1">
      <c r="C99" s="2" t="s">
        <v>522</v>
      </c>
      <c r="D99" s="2" t="s">
        <v>526</v>
      </c>
      <c r="E99" s="2" t="s">
        <v>527</v>
      </c>
      <c r="F99" s="5" t="s">
        <v>528</v>
      </c>
      <c r="G99" s="5" t="s">
        <v>529</v>
      </c>
      <c r="H99" s="5" t="s">
        <v>530</v>
      </c>
      <c r="I99" s="5"/>
      <c r="J99" s="5"/>
      <c r="K99" s="5"/>
      <c r="L99" s="5"/>
      <c r="M99" s="5"/>
      <c r="N99" s="5"/>
      <c r="Q99" t="s">
        <v>531</v>
      </c>
    </row>
    <row r="100" spans="2:17" ht="14.25" customHeight="1">
      <c r="C100" s="2"/>
      <c r="F100" s="5"/>
      <c r="G100" s="5"/>
      <c r="H100" s="5"/>
      <c r="I100" s="5"/>
      <c r="J100" s="5"/>
      <c r="K100" s="5"/>
      <c r="L100" s="5"/>
      <c r="M100" s="5"/>
      <c r="N100" s="5"/>
    </row>
    <row r="101" spans="2:17" ht="14.25" customHeight="1">
      <c r="F101" s="5"/>
      <c r="G101" s="5"/>
      <c r="H101" s="5"/>
      <c r="I101" s="5"/>
      <c r="J101" s="5"/>
      <c r="K101" s="5"/>
      <c r="L101" s="5"/>
      <c r="M101" s="5"/>
      <c r="N101" s="5"/>
    </row>
    <row r="102" spans="2:17" ht="14.25" customHeight="1">
      <c r="F102" s="5"/>
      <c r="G102" s="5"/>
      <c r="H102" s="5"/>
      <c r="I102" s="5"/>
      <c r="J102" s="5"/>
      <c r="K102" s="5"/>
      <c r="L102" s="5"/>
      <c r="M102" s="5"/>
      <c r="N102" s="5"/>
    </row>
    <row r="103" spans="2:17" ht="14.25" customHeight="1">
      <c r="B103" s="20" t="s">
        <v>867</v>
      </c>
      <c r="F103" s="5"/>
      <c r="G103" s="5"/>
      <c r="H103" s="5"/>
      <c r="I103" s="5"/>
      <c r="J103" s="5"/>
      <c r="K103" s="5"/>
      <c r="L103" s="5"/>
      <c r="M103" s="5"/>
      <c r="N103" s="5"/>
    </row>
    <row r="104" spans="2:17" ht="14.25" customHeight="1">
      <c r="F104" s="5"/>
      <c r="G104" s="5"/>
      <c r="H104" s="5"/>
      <c r="I104" s="5"/>
      <c r="J104" s="5"/>
      <c r="K104" s="5"/>
      <c r="L104" s="5"/>
      <c r="M104" s="5"/>
      <c r="N104" s="5"/>
    </row>
    <row r="105" spans="2:17" ht="14.25" customHeight="1">
      <c r="F105" s="5"/>
      <c r="G105" s="5"/>
      <c r="H105" s="5"/>
      <c r="I105" s="5"/>
      <c r="J105" s="5"/>
      <c r="K105" s="5"/>
      <c r="L105" s="5"/>
      <c r="M105" s="5"/>
      <c r="N105" s="5"/>
    </row>
    <row r="106" spans="2:17" ht="14.25" customHeight="1">
      <c r="F106" s="5"/>
      <c r="G106" s="5"/>
      <c r="H106" s="5"/>
      <c r="I106" s="5"/>
      <c r="J106" s="5"/>
      <c r="K106" s="5"/>
      <c r="L106" s="5"/>
      <c r="M106" s="5"/>
      <c r="N106" s="5"/>
    </row>
    <row r="107" spans="2:17" ht="14.25" customHeight="1">
      <c r="F107" s="5"/>
      <c r="G107" s="5"/>
      <c r="H107" s="5"/>
      <c r="I107" s="5"/>
      <c r="J107" s="5"/>
      <c r="K107" s="5"/>
      <c r="L107" s="5"/>
      <c r="M107" s="5"/>
      <c r="N107" s="5"/>
    </row>
    <row r="108" spans="2:17" ht="14.25" customHeight="1">
      <c r="F108" s="5"/>
      <c r="G108" s="5"/>
      <c r="H108" s="5"/>
      <c r="I108" s="5"/>
      <c r="J108" s="5"/>
      <c r="K108" s="5"/>
      <c r="L108" s="5"/>
      <c r="M108" s="5"/>
      <c r="N108" s="5"/>
    </row>
    <row r="109" spans="2:17" ht="14.25" customHeight="1">
      <c r="F109" s="5"/>
      <c r="G109" s="5"/>
      <c r="H109" s="5"/>
      <c r="I109" s="5"/>
      <c r="J109" s="5"/>
      <c r="K109" s="5"/>
      <c r="L109" s="5"/>
      <c r="M109" s="5"/>
      <c r="N109" s="5"/>
    </row>
    <row r="110" spans="2:17" ht="14.25" customHeight="1">
      <c r="F110" s="5"/>
      <c r="G110" s="5"/>
      <c r="H110" s="5"/>
      <c r="I110" s="5"/>
      <c r="J110" s="5"/>
      <c r="K110" s="5"/>
      <c r="L110" s="5"/>
      <c r="M110" s="5"/>
      <c r="N110" s="5"/>
    </row>
    <row r="111" spans="2:17" ht="14.25" customHeight="1">
      <c r="F111" s="5"/>
      <c r="G111" s="5"/>
      <c r="H111" s="5"/>
      <c r="I111" s="5"/>
      <c r="J111" s="5"/>
      <c r="K111" s="5"/>
      <c r="L111" s="5"/>
      <c r="M111" s="5"/>
      <c r="N111" s="5"/>
    </row>
    <row r="112" spans="2:17" ht="14.25" customHeight="1">
      <c r="F112" s="5"/>
      <c r="G112" s="5"/>
      <c r="H112" s="5"/>
      <c r="I112" s="5"/>
      <c r="J112" s="5"/>
      <c r="K112" s="5"/>
      <c r="L112" s="5"/>
      <c r="M112" s="5"/>
      <c r="N112" s="5"/>
    </row>
    <row r="113" spans="6:14" ht="14.25" customHeight="1">
      <c r="F113" s="5"/>
      <c r="G113" s="5"/>
      <c r="H113" s="5"/>
      <c r="I113" s="5"/>
      <c r="J113" s="5"/>
      <c r="K113" s="5"/>
      <c r="L113" s="5"/>
      <c r="M113" s="5"/>
      <c r="N113" s="5"/>
    </row>
    <row r="114" spans="6:14" ht="14.25" customHeight="1">
      <c r="F114" s="5"/>
      <c r="G114" s="5"/>
      <c r="H114" s="5"/>
      <c r="I114" s="5"/>
      <c r="J114" s="5"/>
      <c r="K114" s="5"/>
      <c r="L114" s="5"/>
      <c r="M114" s="5"/>
      <c r="N114" s="5"/>
    </row>
    <row r="115" spans="6:14" ht="14.25" customHeight="1">
      <c r="F115" s="1"/>
    </row>
    <row r="116" spans="6:14" ht="14.25" customHeight="1">
      <c r="F116" s="1"/>
    </row>
    <row r="117" spans="6:14" ht="14.25" customHeight="1">
      <c r="F117" s="1"/>
    </row>
    <row r="118" spans="6:14" ht="14.25" customHeight="1">
      <c r="F118" s="1"/>
    </row>
    <row r="119" spans="6:14" ht="14.25" customHeight="1">
      <c r="F119" s="1"/>
    </row>
    <row r="120" spans="6:14" ht="14.25" customHeight="1">
      <c r="F120" s="1"/>
    </row>
    <row r="121" spans="6:14" ht="14.25" customHeight="1">
      <c r="F121" s="1"/>
    </row>
    <row r="122" spans="6:14" ht="14.25" customHeight="1">
      <c r="F122" s="1"/>
    </row>
    <row r="123" spans="6:14" ht="14.25" customHeight="1">
      <c r="F123" s="1"/>
    </row>
    <row r="124" spans="6:14" ht="14.25" customHeight="1">
      <c r="F124" s="1"/>
    </row>
    <row r="125" spans="6:14" ht="14.25" customHeight="1">
      <c r="F125" s="1"/>
    </row>
    <row r="126" spans="6:14" ht="14.25" customHeight="1">
      <c r="F126" s="1"/>
    </row>
    <row r="127" spans="6:14" ht="14.25" customHeight="1">
      <c r="F127" s="1"/>
    </row>
    <row r="128" spans="6:14" ht="14.25" customHeight="1">
      <c r="F128" s="1"/>
    </row>
    <row r="129" spans="6:6" ht="14.25" customHeight="1">
      <c r="F129" s="1"/>
    </row>
    <row r="130" spans="6:6" ht="14.25" customHeight="1">
      <c r="F130" s="1"/>
    </row>
    <row r="131" spans="6:6" ht="14.25" customHeight="1">
      <c r="F131" s="1"/>
    </row>
    <row r="132" spans="6:6" ht="14.25" customHeight="1">
      <c r="F132" s="1"/>
    </row>
    <row r="133" spans="6:6" ht="14.25" customHeight="1">
      <c r="F133" s="1"/>
    </row>
    <row r="134" spans="6:6" ht="14.25" customHeight="1">
      <c r="F134" s="1"/>
    </row>
    <row r="135" spans="6:6" ht="14.25" customHeight="1">
      <c r="F135" s="1"/>
    </row>
    <row r="136" spans="6:6" ht="14.25" customHeight="1">
      <c r="F136" s="1"/>
    </row>
    <row r="137" spans="6:6" ht="14.25" customHeight="1">
      <c r="F137" s="1"/>
    </row>
    <row r="138" spans="6:6" ht="14.25" customHeight="1">
      <c r="F138" s="1"/>
    </row>
    <row r="139" spans="6:6" ht="14.25" customHeight="1">
      <c r="F139" s="1"/>
    </row>
    <row r="140" spans="6:6" ht="14.25" customHeight="1">
      <c r="F140" s="1"/>
    </row>
    <row r="141" spans="6:6" ht="14.25" customHeight="1">
      <c r="F141" s="1"/>
    </row>
    <row r="142" spans="6:6" ht="14.25" customHeight="1">
      <c r="F142" s="1"/>
    </row>
    <row r="143" spans="6:6" ht="14.25" customHeight="1">
      <c r="F143" s="1"/>
    </row>
    <row r="144" spans="6:6" ht="14.25" customHeight="1">
      <c r="F144" s="1"/>
    </row>
    <row r="145" spans="6:6" ht="14.25" customHeight="1">
      <c r="F145" s="1"/>
    </row>
    <row r="146" spans="6:6" ht="14.25" customHeight="1">
      <c r="F146" s="1"/>
    </row>
    <row r="147" spans="6:6" ht="14.25" customHeight="1">
      <c r="F147" s="1"/>
    </row>
    <row r="148" spans="6:6" ht="14.25" customHeight="1">
      <c r="F148" s="1"/>
    </row>
    <row r="149" spans="6:6" ht="14.25" customHeight="1">
      <c r="F149" s="1"/>
    </row>
    <row r="150" spans="6:6" ht="14.25" customHeight="1">
      <c r="F150" s="1"/>
    </row>
    <row r="151" spans="6:6" ht="14.25" customHeight="1">
      <c r="F151" s="1"/>
    </row>
    <row r="152" spans="6:6" ht="14.25" customHeight="1">
      <c r="F152" s="1"/>
    </row>
    <row r="153" spans="6:6" ht="14.25" customHeight="1">
      <c r="F153" s="1"/>
    </row>
    <row r="154" spans="6:6" ht="14.25" customHeight="1">
      <c r="F154" s="1"/>
    </row>
    <row r="155" spans="6:6" ht="14.25" customHeight="1">
      <c r="F155" s="1"/>
    </row>
    <row r="156" spans="6:6" ht="14.25" customHeight="1">
      <c r="F156" s="1"/>
    </row>
    <row r="157" spans="6:6" ht="14.25" customHeight="1">
      <c r="F157" s="1"/>
    </row>
    <row r="158" spans="6:6" ht="14.25" customHeight="1">
      <c r="F158" s="1"/>
    </row>
    <row r="159" spans="6:6" ht="14.25" customHeight="1">
      <c r="F159" s="1"/>
    </row>
    <row r="160" spans="6:6" ht="14.25" customHeight="1">
      <c r="F160" s="1"/>
    </row>
    <row r="161" spans="6:6" ht="14.25" customHeight="1">
      <c r="F161" s="1"/>
    </row>
    <row r="162" spans="6:6" ht="14.25" customHeight="1">
      <c r="F162" s="1"/>
    </row>
    <row r="163" spans="6:6" ht="14.25" customHeight="1">
      <c r="F163" s="1"/>
    </row>
    <row r="164" spans="6:6" ht="14.25" customHeight="1">
      <c r="F164" s="1"/>
    </row>
    <row r="165" spans="6:6" ht="14.25" customHeight="1">
      <c r="F165" s="1"/>
    </row>
    <row r="166" spans="6:6" ht="14.25" customHeight="1">
      <c r="F166" s="1"/>
    </row>
    <row r="167" spans="6:6" ht="14.25" customHeight="1">
      <c r="F167" s="1"/>
    </row>
    <row r="168" spans="6:6" ht="14.25" customHeight="1">
      <c r="F168" s="1"/>
    </row>
    <row r="169" spans="6:6" ht="14.25" customHeight="1">
      <c r="F169" s="1"/>
    </row>
    <row r="170" spans="6:6" ht="14.25" customHeight="1">
      <c r="F170" s="1"/>
    </row>
    <row r="171" spans="6:6" ht="14.25" customHeight="1">
      <c r="F171" s="1"/>
    </row>
    <row r="172" spans="6:6" ht="14.25" customHeight="1">
      <c r="F172" s="1"/>
    </row>
    <row r="173" spans="6:6" ht="14.25" customHeight="1">
      <c r="F173" s="1"/>
    </row>
    <row r="174" spans="6:6" ht="14.25" customHeight="1">
      <c r="F174" s="1"/>
    </row>
    <row r="175" spans="6:6" ht="14.25" customHeight="1">
      <c r="F175" s="1"/>
    </row>
    <row r="176" spans="6:6" ht="14.25" customHeight="1">
      <c r="F176" s="1"/>
    </row>
    <row r="177" spans="6:6" ht="14.25" customHeight="1">
      <c r="F177" s="1"/>
    </row>
    <row r="178" spans="6:6" ht="14.25" customHeight="1">
      <c r="F178" s="1"/>
    </row>
    <row r="179" spans="6:6" ht="14.25" customHeight="1">
      <c r="F179" s="1"/>
    </row>
    <row r="180" spans="6:6" ht="14.25" customHeight="1">
      <c r="F180" s="1"/>
    </row>
    <row r="181" spans="6:6" ht="14.25" customHeight="1">
      <c r="F181" s="1"/>
    </row>
    <row r="182" spans="6:6" ht="14.25" customHeight="1">
      <c r="F182" s="1"/>
    </row>
    <row r="183" spans="6:6" ht="14.25" customHeight="1">
      <c r="F183" s="1"/>
    </row>
    <row r="184" spans="6:6" ht="14.25" customHeight="1">
      <c r="F184" s="1"/>
    </row>
    <row r="185" spans="6:6" ht="14.25" customHeight="1">
      <c r="F185" s="1"/>
    </row>
    <row r="186" spans="6:6" ht="14.25" customHeight="1">
      <c r="F186" s="1"/>
    </row>
    <row r="187" spans="6:6" ht="14.25" customHeight="1">
      <c r="F187" s="1"/>
    </row>
    <row r="188" spans="6:6" ht="14.25" customHeight="1">
      <c r="F188" s="1"/>
    </row>
    <row r="189" spans="6:6" ht="14.25" customHeight="1">
      <c r="F189" s="1"/>
    </row>
    <row r="190" spans="6:6" ht="14.25" customHeight="1">
      <c r="F190" s="1"/>
    </row>
    <row r="191" spans="6:6" ht="14.25" customHeight="1">
      <c r="F191" s="1"/>
    </row>
    <row r="192" spans="6:6" ht="14.25" customHeight="1">
      <c r="F192" s="1"/>
    </row>
    <row r="193" spans="6:6" ht="14.25" customHeight="1">
      <c r="F193" s="1"/>
    </row>
    <row r="194" spans="6:6" ht="14.25" customHeight="1">
      <c r="F194" s="1"/>
    </row>
    <row r="195" spans="6:6" ht="14.25" customHeight="1">
      <c r="F195" s="1"/>
    </row>
    <row r="196" spans="6:6" ht="14.25" customHeight="1">
      <c r="F196" s="1"/>
    </row>
  </sheetData>
  <sortState ref="A47:Q89">
    <sortCondition ref="H47:H89"/>
  </sortState>
  <phoneticPr fontId="6" type="noConversion"/>
  <hyperlinks>
    <hyperlink ref="Q95" r:id="rId1" xr:uid="{F986E48A-559C-420D-8BD0-CC5B3537CBFF}"/>
    <hyperlink ref="Q96" r:id="rId2" xr:uid="{C1E6D5CB-C8F0-4725-AB6F-130BB760C355}"/>
    <hyperlink ref="Q23" r:id="rId3" xr:uid="{9DF2BC08-C60E-428E-9DBE-DE06EA3783AD}"/>
    <hyperlink ref="Q9" r:id="rId4" xr:uid="{2F03FF95-E1A0-469D-8610-D3F421A9B195}"/>
    <hyperlink ref="Q10" r:id="rId5" xr:uid="{E53C7C32-9417-4D1E-A38F-514D8A3504A7}"/>
  </hyperlinks>
  <pageMargins left="0.7" right="0.7" top="0.75" bottom="0.75" header="0" footer="0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558F-068E-4652-A3AC-977AACA1BF36}">
  <dimension ref="B1:O78"/>
  <sheetViews>
    <sheetView workbookViewId="0">
      <pane ySplit="1" topLeftCell="A2" activePane="bottomLeft" state="frozen"/>
      <selection pane="bottomLeft" activeCell="E5" sqref="E5"/>
    </sheetView>
  </sheetViews>
  <sheetFormatPr defaultRowHeight="14.5" customHeight="1"/>
  <cols>
    <col min="1" max="1" width="4.7265625" style="11" customWidth="1"/>
    <col min="2" max="4" width="17.6328125" style="11" customWidth="1"/>
    <col min="5" max="7" width="30.6328125" style="11" customWidth="1"/>
    <col min="8" max="10" width="16.08984375" style="11" customWidth="1"/>
    <col min="11" max="11" width="32.453125" style="11" customWidth="1"/>
    <col min="12" max="12" width="29.90625" style="11" customWidth="1"/>
    <col min="13" max="13" width="3.6328125" style="11" customWidth="1"/>
    <col min="14" max="14" width="27.453125" style="11" customWidth="1"/>
    <col min="15" max="16384" width="8.7265625" style="11"/>
  </cols>
  <sheetData>
    <row r="1" spans="2:14" s="24" customFormat="1" ht="14.5" customHeight="1">
      <c r="B1" s="24" t="s">
        <v>1</v>
      </c>
      <c r="C1" s="24" t="s">
        <v>920</v>
      </c>
      <c r="D1" s="24" t="s">
        <v>950</v>
      </c>
      <c r="E1" s="24" t="s">
        <v>951</v>
      </c>
      <c r="F1" s="24" t="s">
        <v>952</v>
      </c>
      <c r="G1" s="24" t="s">
        <v>1016</v>
      </c>
      <c r="H1" s="24" t="s">
        <v>956</v>
      </c>
      <c r="I1" s="24" t="s">
        <v>957</v>
      </c>
      <c r="J1" s="24" t="s">
        <v>1023</v>
      </c>
      <c r="K1" s="24" t="s">
        <v>953</v>
      </c>
    </row>
    <row r="2" spans="2:14" ht="14.5" customHeight="1">
      <c r="B2" s="10" t="s">
        <v>13</v>
      </c>
      <c r="C2" s="10" t="s">
        <v>929</v>
      </c>
      <c r="D2" s="10" t="s">
        <v>1</v>
      </c>
      <c r="E2" s="10" t="s">
        <v>1036</v>
      </c>
      <c r="F2" s="10"/>
      <c r="G2" s="10"/>
      <c r="H2" s="10"/>
      <c r="I2" s="10"/>
      <c r="J2" s="10"/>
      <c r="K2" s="10"/>
      <c r="L2" s="10"/>
      <c r="M2" s="10"/>
      <c r="N2" s="10"/>
    </row>
    <row r="3" spans="2:14" ht="14.5" customHeight="1">
      <c r="B3" s="11" t="s">
        <v>13</v>
      </c>
      <c r="C3" s="10" t="s">
        <v>16</v>
      </c>
      <c r="D3" s="10" t="s">
        <v>920</v>
      </c>
      <c r="E3" s="10" t="s">
        <v>923</v>
      </c>
      <c r="F3" s="10"/>
      <c r="G3" s="10"/>
      <c r="H3" s="10"/>
      <c r="I3" s="10"/>
      <c r="J3" s="10"/>
      <c r="K3" s="10"/>
      <c r="L3" s="10"/>
      <c r="M3" s="10"/>
      <c r="N3" s="10"/>
    </row>
    <row r="4" spans="2:14" ht="14.5" customHeight="1">
      <c r="B4" s="11" t="s">
        <v>13</v>
      </c>
      <c r="C4" s="11" t="s">
        <v>18</v>
      </c>
      <c r="D4" s="11" t="s">
        <v>34</v>
      </c>
      <c r="E4" s="10" t="s">
        <v>35</v>
      </c>
      <c r="F4" s="16" t="s">
        <v>1288</v>
      </c>
      <c r="G4" s="10"/>
      <c r="H4" s="10"/>
      <c r="I4" s="10"/>
      <c r="J4" s="10"/>
      <c r="K4" s="10"/>
      <c r="L4" s="10"/>
      <c r="M4" s="10"/>
      <c r="N4" s="10"/>
    </row>
    <row r="5" spans="2:14" ht="14.5" customHeight="1">
      <c r="B5" s="18" t="s">
        <v>13</v>
      </c>
      <c r="C5" s="18" t="s">
        <v>22</v>
      </c>
      <c r="D5" s="18" t="s">
        <v>14</v>
      </c>
      <c r="E5" s="10" t="s">
        <v>28</v>
      </c>
      <c r="F5" s="10"/>
      <c r="G5" s="10"/>
      <c r="H5" s="10"/>
      <c r="I5" s="10"/>
      <c r="J5" s="10"/>
      <c r="K5" s="10"/>
      <c r="L5" s="10"/>
      <c r="M5" s="10"/>
      <c r="N5" s="10"/>
    </row>
    <row r="6" spans="2:14" ht="14.5" customHeight="1">
      <c r="B6" s="11" t="s">
        <v>13</v>
      </c>
      <c r="C6" s="11" t="s">
        <v>23</v>
      </c>
      <c r="D6" s="11" t="s">
        <v>47</v>
      </c>
      <c r="E6" s="10" t="s">
        <v>30</v>
      </c>
      <c r="F6" s="10"/>
      <c r="G6" s="10"/>
      <c r="H6" s="10"/>
      <c r="I6" s="10"/>
      <c r="J6" s="10"/>
      <c r="K6" s="10"/>
      <c r="L6" s="10"/>
      <c r="M6" s="10"/>
      <c r="N6" s="10"/>
    </row>
    <row r="7" spans="2:14" ht="14.5" customHeight="1">
      <c r="B7" s="11" t="s">
        <v>13</v>
      </c>
      <c r="C7" s="11" t="s">
        <v>23</v>
      </c>
      <c r="D7" s="11" t="s">
        <v>24</v>
      </c>
      <c r="E7" s="10" t="s">
        <v>30</v>
      </c>
      <c r="F7" s="10" t="s">
        <v>1006</v>
      </c>
      <c r="G7" s="10"/>
      <c r="H7" s="10" t="s">
        <v>1007</v>
      </c>
      <c r="I7" s="10"/>
      <c r="J7" s="10"/>
      <c r="K7" s="10"/>
      <c r="L7" s="10"/>
      <c r="M7" s="10"/>
      <c r="N7" s="10"/>
    </row>
    <row r="8" spans="2:14" ht="14.5" customHeight="1">
      <c r="B8" s="10" t="s">
        <v>936</v>
      </c>
      <c r="C8" s="10" t="s">
        <v>933</v>
      </c>
      <c r="E8" s="10"/>
      <c r="F8" s="16" t="s">
        <v>1290</v>
      </c>
      <c r="G8" s="10"/>
      <c r="H8" s="10" t="s">
        <v>1042</v>
      </c>
      <c r="I8" s="10"/>
      <c r="J8" s="10"/>
      <c r="K8" s="10"/>
      <c r="L8" s="10"/>
      <c r="M8" s="10"/>
      <c r="N8" s="10"/>
    </row>
    <row r="9" spans="2:14" ht="14.5" customHeight="1">
      <c r="B9" s="11" t="s">
        <v>13</v>
      </c>
      <c r="C9" s="11" t="s">
        <v>5</v>
      </c>
      <c r="D9" s="11" t="s">
        <v>46</v>
      </c>
      <c r="E9" s="10" t="s">
        <v>29</v>
      </c>
      <c r="F9" s="10" t="s">
        <v>1033</v>
      </c>
      <c r="G9" s="10"/>
      <c r="H9" s="10" t="s">
        <v>1008</v>
      </c>
      <c r="I9" s="10"/>
      <c r="J9" s="10"/>
      <c r="K9" s="10"/>
      <c r="L9" s="10" t="s">
        <v>882</v>
      </c>
      <c r="M9" s="10"/>
      <c r="N9" s="10" t="s">
        <v>883</v>
      </c>
    </row>
    <row r="10" spans="2:14" ht="14.5" customHeight="1">
      <c r="B10" s="10" t="s">
        <v>13</v>
      </c>
      <c r="C10" s="10" t="s">
        <v>515</v>
      </c>
      <c r="E10" s="10" t="s">
        <v>1041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2:14" ht="14.5" customHeight="1">
      <c r="B11" s="10" t="s">
        <v>13</v>
      </c>
      <c r="C11" s="10" t="s">
        <v>934</v>
      </c>
      <c r="E11" s="10"/>
      <c r="F11" s="10"/>
      <c r="G11" s="10"/>
      <c r="H11" s="28" t="s">
        <v>1018</v>
      </c>
      <c r="I11" s="10"/>
      <c r="J11" s="10"/>
      <c r="K11" s="10"/>
      <c r="L11" s="10"/>
      <c r="M11" s="10"/>
      <c r="N11" s="10"/>
    </row>
    <row r="12" spans="2:14" ht="14.5" customHeight="1">
      <c r="B12" s="10" t="s">
        <v>13</v>
      </c>
      <c r="C12" s="10" t="s">
        <v>928</v>
      </c>
      <c r="E12" s="10" t="s">
        <v>1032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2:14" ht="14.5" customHeight="1">
      <c r="B13" s="10" t="s">
        <v>13</v>
      </c>
      <c r="C13" s="10" t="s">
        <v>931</v>
      </c>
      <c r="E13" s="10" t="s">
        <v>1039</v>
      </c>
      <c r="F13" s="16" t="s">
        <v>1291</v>
      </c>
      <c r="G13" s="10"/>
      <c r="H13" s="10"/>
      <c r="I13" s="10"/>
      <c r="J13" s="10"/>
      <c r="K13" s="10"/>
      <c r="L13" s="10"/>
      <c r="M13" s="10"/>
      <c r="N13" s="10"/>
    </row>
    <row r="14" spans="2:14" ht="14.5" customHeight="1">
      <c r="B14" s="18" t="s">
        <v>13</v>
      </c>
      <c r="C14" s="18" t="s">
        <v>25</v>
      </c>
      <c r="D14" s="18" t="s">
        <v>14</v>
      </c>
      <c r="E14" s="10" t="s">
        <v>1038</v>
      </c>
      <c r="F14" s="10"/>
      <c r="G14" s="10"/>
      <c r="H14" s="10"/>
      <c r="I14" s="10"/>
      <c r="J14" s="10"/>
      <c r="K14" s="10" t="s">
        <v>998</v>
      </c>
      <c r="L14" s="10"/>
      <c r="M14" s="10"/>
      <c r="N14" s="10"/>
    </row>
    <row r="15" spans="2:14" ht="14.5" customHeight="1">
      <c r="B15" s="11" t="s">
        <v>13</v>
      </c>
      <c r="C15" s="10" t="s">
        <v>946</v>
      </c>
      <c r="D15" s="11" t="s">
        <v>26</v>
      </c>
      <c r="E15" s="10"/>
      <c r="F15" s="10"/>
      <c r="G15" s="10"/>
      <c r="H15" s="10" t="s">
        <v>945</v>
      </c>
      <c r="I15" s="10" t="s">
        <v>1051</v>
      </c>
      <c r="J15" s="10"/>
      <c r="K15" s="10"/>
      <c r="L15" s="10"/>
      <c r="M15" s="10"/>
      <c r="N15" s="10"/>
    </row>
    <row r="16" spans="2:14" ht="14.5" customHeight="1"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2:15" ht="14.5" customHeight="1">
      <c r="B17" s="10" t="s">
        <v>924</v>
      </c>
      <c r="C17" s="10" t="s">
        <v>925</v>
      </c>
      <c r="D17" s="10" t="s">
        <v>926</v>
      </c>
      <c r="E17" s="10" t="s">
        <v>938</v>
      </c>
      <c r="F17" s="10" t="s">
        <v>1044</v>
      </c>
      <c r="G17" s="10"/>
      <c r="H17" s="10"/>
      <c r="I17" s="10"/>
      <c r="J17" s="10"/>
      <c r="K17" s="10"/>
      <c r="L17" s="10"/>
      <c r="M17" s="10"/>
      <c r="N17" s="10"/>
    </row>
    <row r="18" spans="2:15" ht="14.5" customHeight="1"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5" ht="14.5" customHeight="1">
      <c r="B19" s="10" t="s">
        <v>939</v>
      </c>
      <c r="C19" s="10" t="s">
        <v>940</v>
      </c>
      <c r="E19" s="10" t="s">
        <v>941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2:15" ht="14.5" customHeight="1"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2:15" ht="14.5" customHeight="1">
      <c r="B21" s="18" t="s">
        <v>19</v>
      </c>
      <c r="C21" s="18" t="s">
        <v>778</v>
      </c>
      <c r="D21" s="18" t="s">
        <v>768</v>
      </c>
      <c r="E21" s="10" t="s">
        <v>48</v>
      </c>
      <c r="F21" s="10"/>
      <c r="G21" s="10"/>
      <c r="H21" s="10" t="s">
        <v>1048</v>
      </c>
      <c r="I21" s="10" t="s">
        <v>955</v>
      </c>
      <c r="K21" s="10"/>
      <c r="L21" s="10"/>
      <c r="M21" s="10"/>
      <c r="N21" s="10"/>
      <c r="O21" s="17"/>
    </row>
    <row r="22" spans="2:15" ht="14.5" customHeight="1">
      <c r="B22" s="11" t="s">
        <v>19</v>
      </c>
      <c r="C22" s="11" t="s">
        <v>779</v>
      </c>
      <c r="E22" s="10" t="s">
        <v>43</v>
      </c>
      <c r="F22" s="10" t="s">
        <v>50</v>
      </c>
      <c r="G22" s="10" t="s">
        <v>1043</v>
      </c>
      <c r="H22" s="10" t="s">
        <v>1022</v>
      </c>
      <c r="I22" s="10" t="s">
        <v>970</v>
      </c>
      <c r="J22" s="10"/>
      <c r="K22" s="10"/>
      <c r="L22" s="10" t="s">
        <v>52</v>
      </c>
      <c r="M22" s="10" t="s">
        <v>105</v>
      </c>
      <c r="N22" s="10" t="s">
        <v>707</v>
      </c>
      <c r="O22" s="11" t="s">
        <v>105</v>
      </c>
    </row>
    <row r="23" spans="2:15" ht="14.5" customHeight="1">
      <c r="B23" s="18" t="s">
        <v>19</v>
      </c>
      <c r="C23" s="18" t="s">
        <v>31</v>
      </c>
      <c r="D23" s="18" t="s">
        <v>41</v>
      </c>
      <c r="E23" s="10" t="s">
        <v>42</v>
      </c>
      <c r="F23" s="10" t="s">
        <v>1040</v>
      </c>
      <c r="G23" s="10"/>
      <c r="H23" s="10" t="s">
        <v>990</v>
      </c>
      <c r="I23" s="10" t="s">
        <v>1010</v>
      </c>
      <c r="J23" s="10"/>
      <c r="K23" s="10" t="s">
        <v>44</v>
      </c>
      <c r="L23" s="10"/>
      <c r="M23" s="10"/>
      <c r="N23" s="10"/>
    </row>
    <row r="24" spans="2:15" ht="14.5" customHeight="1">
      <c r="B24" s="18" t="s">
        <v>19</v>
      </c>
      <c r="C24" s="18" t="s">
        <v>935</v>
      </c>
      <c r="D24" s="18"/>
      <c r="E24" s="10" t="s">
        <v>51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2:15" s="17" customFormat="1" ht="14.5" customHeight="1">
      <c r="B25" s="18" t="s">
        <v>19</v>
      </c>
      <c r="C25" s="18" t="s">
        <v>766</v>
      </c>
      <c r="D25" s="18" t="s">
        <v>767</v>
      </c>
      <c r="E25" s="10" t="s">
        <v>101</v>
      </c>
      <c r="F25" s="10"/>
      <c r="G25" s="10"/>
      <c r="H25" s="10" t="s">
        <v>969</v>
      </c>
      <c r="I25" s="10" t="s">
        <v>1049</v>
      </c>
      <c r="J25" s="10"/>
      <c r="K25" s="10"/>
      <c r="L25" s="10"/>
      <c r="M25" s="10"/>
      <c r="N25" s="10"/>
      <c r="O25" s="11"/>
    </row>
    <row r="26" spans="2:15" ht="14.5" customHeight="1">
      <c r="B26" s="18" t="s">
        <v>15</v>
      </c>
      <c r="C26" s="18" t="s">
        <v>930</v>
      </c>
      <c r="D26" s="18" t="s">
        <v>1279</v>
      </c>
      <c r="E26" s="10" t="s">
        <v>1037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2:15" ht="14.5" customHeight="1">
      <c r="B27" s="18" t="s">
        <v>942</v>
      </c>
      <c r="C27" s="18" t="s">
        <v>943</v>
      </c>
      <c r="E27" s="10" t="s">
        <v>944</v>
      </c>
      <c r="F27" s="10"/>
      <c r="G27" s="10"/>
      <c r="H27" s="10" t="s">
        <v>975</v>
      </c>
      <c r="I27" s="10" t="s">
        <v>1009</v>
      </c>
      <c r="J27" s="10"/>
      <c r="K27" s="10"/>
      <c r="L27" s="10"/>
      <c r="M27" s="10"/>
      <c r="N27" s="10"/>
    </row>
    <row r="28" spans="2:15" ht="14.5" customHeight="1">
      <c r="B28" s="10" t="s">
        <v>947</v>
      </c>
      <c r="C28" s="10" t="s">
        <v>4</v>
      </c>
      <c r="E28" s="10" t="s">
        <v>948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2:15" ht="14.5" customHeight="1">
      <c r="B29" s="10" t="s">
        <v>942</v>
      </c>
      <c r="C29" s="10" t="s">
        <v>23</v>
      </c>
      <c r="D29" s="10" t="s">
        <v>272</v>
      </c>
      <c r="E29" s="10" t="s">
        <v>949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2:15" ht="14.5" customHeight="1"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2:15" ht="14.5" customHeight="1">
      <c r="B31" s="18" t="s">
        <v>19</v>
      </c>
      <c r="C31" s="18" t="s">
        <v>927</v>
      </c>
      <c r="D31" s="18" t="s">
        <v>24</v>
      </c>
      <c r="E31" s="10" t="s">
        <v>33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2:15" ht="14.5" customHeight="1">
      <c r="B32" s="11" t="s">
        <v>15</v>
      </c>
      <c r="C32" s="11" t="s">
        <v>32</v>
      </c>
      <c r="D32" s="11" t="s">
        <v>49</v>
      </c>
      <c r="E32" s="10" t="s">
        <v>33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2:14" ht="14.5" customHeight="1"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2:14" ht="14.5" customHeight="1">
      <c r="B34" s="25" t="s">
        <v>769</v>
      </c>
      <c r="C34" s="25" t="s">
        <v>770</v>
      </c>
      <c r="D34" s="25" t="s">
        <v>771</v>
      </c>
      <c r="E34" s="10" t="s">
        <v>918</v>
      </c>
      <c r="F34" s="10"/>
      <c r="G34" s="10"/>
      <c r="H34" s="10" t="s">
        <v>1046</v>
      </c>
      <c r="I34" s="10"/>
      <c r="J34" s="10"/>
      <c r="K34" s="10" t="s">
        <v>919</v>
      </c>
      <c r="L34" s="10"/>
      <c r="M34" s="10"/>
      <c r="N34" s="10"/>
    </row>
    <row r="35" spans="2:14" ht="14.5" customHeight="1">
      <c r="B35" s="25" t="s">
        <v>772</v>
      </c>
      <c r="C35" s="25" t="s">
        <v>22</v>
      </c>
      <c r="D35" s="25" t="s">
        <v>1024</v>
      </c>
      <c r="E35" s="10" t="s">
        <v>996</v>
      </c>
      <c r="F35" s="10" t="s">
        <v>937</v>
      </c>
      <c r="G35" s="10"/>
      <c r="H35" s="10" t="s">
        <v>1045</v>
      </c>
      <c r="I35" s="10" t="s">
        <v>1047</v>
      </c>
      <c r="J35" s="10"/>
      <c r="K35" s="10"/>
      <c r="L35" s="10"/>
      <c r="M35" s="10"/>
      <c r="N35" s="10"/>
    </row>
    <row r="36" spans="2:14" ht="14.5" customHeight="1">
      <c r="B36" s="25" t="s">
        <v>995</v>
      </c>
      <c r="C36" s="25"/>
      <c r="D36" s="25"/>
      <c r="E36" s="10"/>
      <c r="F36" s="10"/>
      <c r="G36" s="10"/>
      <c r="H36" s="10" t="s">
        <v>997</v>
      </c>
      <c r="I36" s="10"/>
      <c r="J36" s="10"/>
      <c r="K36" s="10"/>
      <c r="L36" s="10"/>
      <c r="M36" s="10"/>
      <c r="N36" s="10"/>
    </row>
    <row r="37" spans="2:14" ht="14.5" customHeight="1">
      <c r="B37" s="25" t="s">
        <v>769</v>
      </c>
      <c r="C37" s="25" t="s">
        <v>921</v>
      </c>
      <c r="D37" s="25"/>
      <c r="E37" s="10" t="s">
        <v>922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2:14" ht="14.5" customHeight="1"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 ht="14.5" customHeight="1">
      <c r="B39" s="11" t="s">
        <v>774</v>
      </c>
      <c r="C39" s="11" t="s">
        <v>775</v>
      </c>
      <c r="E39" s="28" t="s">
        <v>1027</v>
      </c>
      <c r="F39" s="10"/>
      <c r="G39" s="10"/>
      <c r="H39" s="28" t="s">
        <v>1018</v>
      </c>
      <c r="I39" s="10"/>
      <c r="J39" s="10"/>
      <c r="K39" s="10"/>
      <c r="L39" s="10"/>
      <c r="M39" s="10"/>
      <c r="N39" s="10"/>
    </row>
    <row r="40" spans="2:14" ht="14.5" customHeight="1">
      <c r="B40" s="11" t="s">
        <v>774</v>
      </c>
      <c r="C40" s="10" t="s">
        <v>932</v>
      </c>
      <c r="E40" s="10"/>
      <c r="F40" s="10"/>
      <c r="G40" s="10"/>
      <c r="H40" s="10" t="s">
        <v>1004</v>
      </c>
      <c r="I40" s="10"/>
      <c r="J40" s="10"/>
      <c r="K40" s="10"/>
      <c r="L40" s="10"/>
      <c r="M40" s="10"/>
      <c r="N40" s="10"/>
    </row>
    <row r="41" spans="2:14" ht="14.5" customHeight="1">
      <c r="B41" s="11" t="s">
        <v>774</v>
      </c>
      <c r="C41" s="10" t="s">
        <v>39</v>
      </c>
      <c r="D41" s="10" t="s">
        <v>53</v>
      </c>
      <c r="E41" s="10"/>
      <c r="F41" s="10"/>
      <c r="G41" s="10"/>
      <c r="H41" s="10" t="s">
        <v>968</v>
      </c>
      <c r="I41" s="10"/>
      <c r="J41" s="10"/>
      <c r="K41" s="10" t="s">
        <v>1000</v>
      </c>
      <c r="L41" s="10"/>
      <c r="M41" s="10"/>
      <c r="N41" s="10"/>
    </row>
    <row r="42" spans="2:14" ht="14.5" customHeight="1">
      <c r="B42" s="11" t="s">
        <v>774</v>
      </c>
      <c r="E42" s="28" t="s">
        <v>1027</v>
      </c>
      <c r="F42" s="10"/>
      <c r="G42" s="10"/>
      <c r="H42" s="28" t="s">
        <v>1018</v>
      </c>
      <c r="I42" s="10"/>
      <c r="J42" s="10"/>
      <c r="K42" s="10"/>
      <c r="L42" s="10"/>
      <c r="M42" s="10"/>
      <c r="N42" s="10"/>
    </row>
    <row r="43" spans="2:14" ht="14.5" customHeight="1"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2:14" ht="14.5" customHeight="1">
      <c r="B44" s="18" t="s">
        <v>776</v>
      </c>
      <c r="C44" s="18" t="s">
        <v>777</v>
      </c>
      <c r="D44" s="18" t="s">
        <v>53</v>
      </c>
      <c r="E44" s="10" t="s">
        <v>991</v>
      </c>
      <c r="F44" s="10"/>
      <c r="G44" s="10"/>
      <c r="H44" s="10" t="s">
        <v>992</v>
      </c>
      <c r="I44" s="10"/>
      <c r="J44" s="10"/>
      <c r="K44" s="10"/>
      <c r="L44" s="10"/>
      <c r="M44" s="10"/>
      <c r="N44" s="10"/>
    </row>
    <row r="45" spans="2:14" ht="14.5" customHeight="1"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2:14" ht="14.5" customHeight="1">
      <c r="B46" s="18" t="s">
        <v>9</v>
      </c>
      <c r="C46" s="18" t="s">
        <v>39</v>
      </c>
      <c r="D46" s="18" t="s">
        <v>40</v>
      </c>
      <c r="E46" s="10" t="s">
        <v>20</v>
      </c>
      <c r="F46" s="10" t="s">
        <v>11</v>
      </c>
      <c r="H46" s="10" t="s">
        <v>1005</v>
      </c>
      <c r="I46" s="10"/>
      <c r="J46" s="10"/>
      <c r="K46" s="10"/>
      <c r="L46" s="10"/>
      <c r="M46" s="10"/>
      <c r="N46" s="10"/>
    </row>
    <row r="47" spans="2:14" ht="14.5" customHeight="1">
      <c r="B47" s="18" t="s">
        <v>9</v>
      </c>
      <c r="C47" s="18" t="s">
        <v>21</v>
      </c>
      <c r="D47" s="18" t="s">
        <v>1</v>
      </c>
      <c r="E47" s="10" t="s">
        <v>773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2:14" ht="14.5" customHeight="1">
      <c r="B48" s="18" t="s">
        <v>9</v>
      </c>
      <c r="C48" s="18" t="s">
        <v>27</v>
      </c>
      <c r="D48" s="18" t="s">
        <v>53</v>
      </c>
      <c r="E48" s="10" t="s">
        <v>993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2:14" s="47" customFormat="1" ht="14.5" customHeight="1">
      <c r="B49" s="47" t="s">
        <v>9</v>
      </c>
      <c r="C49" s="47" t="s">
        <v>36</v>
      </c>
      <c r="D49" s="47" t="s">
        <v>37</v>
      </c>
      <c r="E49" s="47" t="s">
        <v>1261</v>
      </c>
      <c r="H49" s="47" t="s">
        <v>1025</v>
      </c>
      <c r="I49" s="47" t="s">
        <v>1026</v>
      </c>
    </row>
    <row r="50" spans="2:14" ht="14.5" customHeight="1">
      <c r="B50" s="11" t="s">
        <v>9</v>
      </c>
      <c r="C50" s="11" t="s">
        <v>4</v>
      </c>
      <c r="E50" s="10" t="s">
        <v>45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2:14" ht="14.5" customHeight="1"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2:14" ht="14.5" customHeight="1"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2:14" ht="14.5" customHeight="1">
      <c r="B53" s="25" t="s">
        <v>954</v>
      </c>
      <c r="C53" s="25" t="s">
        <v>770</v>
      </c>
      <c r="D53" s="25" t="s">
        <v>961</v>
      </c>
      <c r="E53" s="10" t="s">
        <v>973</v>
      </c>
      <c r="F53" s="10"/>
      <c r="G53" s="10"/>
      <c r="H53" s="10" t="s">
        <v>959</v>
      </c>
      <c r="I53" s="10" t="s">
        <v>960</v>
      </c>
      <c r="J53" s="10"/>
      <c r="K53" s="10"/>
      <c r="L53" s="10"/>
      <c r="M53" s="10"/>
      <c r="N53" s="10"/>
    </row>
    <row r="54" spans="2:14" ht="14.5" customHeight="1">
      <c r="B54" s="25" t="s">
        <v>774</v>
      </c>
      <c r="C54" s="25" t="s">
        <v>22</v>
      </c>
      <c r="D54" s="25"/>
      <c r="E54" s="10" t="s">
        <v>974</v>
      </c>
      <c r="F54" s="10" t="s">
        <v>1028</v>
      </c>
      <c r="G54" s="10"/>
      <c r="H54" s="10" t="s">
        <v>958</v>
      </c>
      <c r="I54" s="10" t="s">
        <v>1001</v>
      </c>
      <c r="J54" s="10" t="s">
        <v>1029</v>
      </c>
      <c r="K54" s="10"/>
      <c r="L54" s="10"/>
      <c r="M54" s="10"/>
      <c r="N54" s="10"/>
    </row>
    <row r="55" spans="2:14" ht="14.5" customHeight="1">
      <c r="B55" s="25" t="s">
        <v>983</v>
      </c>
      <c r="C55" s="25" t="s">
        <v>32</v>
      </c>
      <c r="D55" s="25"/>
      <c r="E55" s="10" t="s">
        <v>985</v>
      </c>
      <c r="F55" s="10"/>
      <c r="G55" s="10"/>
      <c r="H55" s="10" t="s">
        <v>967</v>
      </c>
      <c r="I55" s="10"/>
      <c r="J55" s="10"/>
      <c r="K55" s="10"/>
      <c r="L55" s="10"/>
      <c r="M55" s="10"/>
      <c r="N55" s="10"/>
    </row>
    <row r="56" spans="2:14" ht="14.5" customHeight="1">
      <c r="B56" s="25" t="s">
        <v>981</v>
      </c>
      <c r="C56" s="25" t="s">
        <v>982</v>
      </c>
      <c r="D56" s="25"/>
      <c r="E56" s="10" t="s">
        <v>984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2:14" ht="14.5" customHeight="1">
      <c r="B57" s="25" t="s">
        <v>986</v>
      </c>
      <c r="C57" s="25" t="s">
        <v>506</v>
      </c>
      <c r="D57" s="25" t="s">
        <v>272</v>
      </c>
      <c r="E57" s="10" t="s">
        <v>987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2:14" ht="14.5" customHeight="1">
      <c r="B58" s="25" t="s">
        <v>986</v>
      </c>
      <c r="C58" s="25" t="s">
        <v>770</v>
      </c>
      <c r="D58" s="25" t="s">
        <v>1014</v>
      </c>
      <c r="E58" s="10" t="s">
        <v>1015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2:14" ht="14.5" customHeight="1">
      <c r="B59" s="25" t="s">
        <v>13</v>
      </c>
      <c r="C59" s="25" t="s">
        <v>31</v>
      </c>
      <c r="D59" s="25" t="s">
        <v>971</v>
      </c>
      <c r="E59" s="10" t="s">
        <v>972</v>
      </c>
      <c r="F59" s="10" t="s">
        <v>1035</v>
      </c>
      <c r="G59" s="10"/>
      <c r="H59" s="10" t="s">
        <v>962</v>
      </c>
      <c r="I59" s="10" t="s">
        <v>963</v>
      </c>
      <c r="J59" s="10"/>
      <c r="K59" s="10"/>
      <c r="L59" s="10"/>
      <c r="M59" s="10"/>
      <c r="N59" s="10"/>
    </row>
    <row r="60" spans="2:14" ht="14.5" customHeight="1">
      <c r="B60" s="25" t="s">
        <v>13</v>
      </c>
      <c r="C60" s="25" t="s">
        <v>23</v>
      </c>
      <c r="D60" s="25" t="s">
        <v>971</v>
      </c>
      <c r="E60" s="10" t="s">
        <v>988</v>
      </c>
      <c r="F60" s="10" t="s">
        <v>994</v>
      </c>
      <c r="G60" s="10" t="s">
        <v>1017</v>
      </c>
      <c r="H60" s="10" t="s">
        <v>989</v>
      </c>
      <c r="I60" s="10" t="s">
        <v>999</v>
      </c>
      <c r="J60" s="10"/>
      <c r="K60" s="10"/>
      <c r="L60" s="10"/>
      <c r="M60" s="10"/>
      <c r="N60" s="10"/>
    </row>
    <row r="61" spans="2:14" ht="14.5" customHeight="1">
      <c r="B61" s="25" t="s">
        <v>13</v>
      </c>
      <c r="C61" s="25" t="s">
        <v>16</v>
      </c>
      <c r="D61" s="25" t="s">
        <v>17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2:14" ht="14.5" customHeight="1">
      <c r="B62" s="25"/>
      <c r="C62" s="25"/>
      <c r="D62" s="25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2:14" ht="14.5" customHeight="1">
      <c r="B63" s="25" t="s">
        <v>964</v>
      </c>
      <c r="C63" s="25" t="s">
        <v>965</v>
      </c>
      <c r="D63" s="25" t="s">
        <v>966</v>
      </c>
      <c r="E63" s="10" t="s">
        <v>980</v>
      </c>
      <c r="F63" s="10" t="s">
        <v>1034</v>
      </c>
      <c r="G63" s="10"/>
      <c r="H63" s="10" t="s">
        <v>1002</v>
      </c>
      <c r="I63" s="10" t="s">
        <v>1003</v>
      </c>
      <c r="J63" s="10" t="s">
        <v>1050</v>
      </c>
      <c r="K63" s="10"/>
      <c r="L63" s="10"/>
      <c r="M63" s="10"/>
      <c r="N63" s="10"/>
    </row>
    <row r="64" spans="2:14" ht="14.5" customHeight="1">
      <c r="B64" s="10" t="s">
        <v>1011</v>
      </c>
      <c r="C64" s="10" t="s">
        <v>1012</v>
      </c>
      <c r="E64" s="10" t="s">
        <v>1013</v>
      </c>
      <c r="F64" s="10" t="s">
        <v>1019</v>
      </c>
      <c r="G64" s="10"/>
      <c r="H64" s="10"/>
      <c r="I64" s="10"/>
      <c r="J64" s="10"/>
      <c r="K64" s="10"/>
      <c r="L64" s="10"/>
      <c r="M64" s="10"/>
      <c r="N64" s="10"/>
    </row>
    <row r="66" spans="2:8" ht="14.5" customHeight="1">
      <c r="B66" s="10"/>
      <c r="C66" s="10" t="s">
        <v>976</v>
      </c>
      <c r="E66" s="10" t="s">
        <v>977</v>
      </c>
    </row>
    <row r="67" spans="2:8" ht="14.5" customHeight="1">
      <c r="C67" s="10" t="s">
        <v>979</v>
      </c>
      <c r="E67" s="10" t="s">
        <v>978</v>
      </c>
    </row>
    <row r="68" spans="2:8" ht="14.5" customHeight="1">
      <c r="C68" s="10" t="s">
        <v>1020</v>
      </c>
      <c r="E68" s="10" t="s">
        <v>1021</v>
      </c>
    </row>
    <row r="69" spans="2:8" ht="14.5" customHeight="1">
      <c r="C69" s="10" t="s">
        <v>1030</v>
      </c>
      <c r="E69" s="10" t="s">
        <v>11</v>
      </c>
      <c r="H69" s="10" t="s">
        <v>1031</v>
      </c>
    </row>
    <row r="71" spans="2:8" ht="14.5" customHeight="1">
      <c r="B71" s="25" t="s">
        <v>1257</v>
      </c>
      <c r="C71" s="25" t="s">
        <v>1259</v>
      </c>
      <c r="D71" s="25" t="s">
        <v>1260</v>
      </c>
      <c r="E71" s="11" t="s">
        <v>1262</v>
      </c>
    </row>
    <row r="72" spans="2:8" ht="14.5" customHeight="1">
      <c r="B72" s="25" t="s">
        <v>1257</v>
      </c>
      <c r="C72" s="25" t="s">
        <v>1258</v>
      </c>
      <c r="D72" s="25"/>
    </row>
    <row r="75" spans="2:8" ht="14.5" customHeight="1">
      <c r="B75" s="48" t="s">
        <v>1289</v>
      </c>
    </row>
    <row r="77" spans="2:8" ht="14.5" customHeight="1">
      <c r="B77" s="26"/>
      <c r="C77" s="26"/>
    </row>
    <row r="78" spans="2:8" ht="14.5" customHeight="1">
      <c r="B78" s="27"/>
      <c r="C78" s="26"/>
    </row>
  </sheetData>
  <sortState ref="B2:O15">
    <sortCondition ref="C2:C15"/>
  </sortState>
  <phoneticPr fontId="6" type="noConversion"/>
  <pageMargins left="0.7" right="0.7" top="0.75" bottom="0.75" header="0.3" footer="0.3"/>
  <pageSetup orientation="portrait" r:id="rId1"/>
  <ignoredErrors>
    <ignoredError sqref="H44 H23:I2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14B4-DAC3-4FC4-81F8-2EA38F575137}">
  <dimension ref="B1:L245"/>
  <sheetViews>
    <sheetView workbookViewId="0">
      <selection activeCell="F4" sqref="F4"/>
    </sheetView>
  </sheetViews>
  <sheetFormatPr defaultRowHeight="14.5" customHeight="1"/>
  <cols>
    <col min="2" max="2" width="31.26953125" customWidth="1"/>
    <col min="4" max="4" width="12.54296875" customWidth="1"/>
    <col min="6" max="6" width="30.08984375" customWidth="1"/>
  </cols>
  <sheetData>
    <row r="1" spans="2:12" ht="14.5" customHeight="1">
      <c r="B1" t="s">
        <v>3</v>
      </c>
      <c r="C1" t="s">
        <v>105</v>
      </c>
      <c r="D1" t="s">
        <v>8</v>
      </c>
    </row>
    <row r="2" spans="2:12" ht="14.5" customHeight="1">
      <c r="C2" t="s">
        <v>105</v>
      </c>
      <c r="L2" t="s">
        <v>102</v>
      </c>
    </row>
    <row r="3" spans="2:12" ht="14.5" customHeight="1">
      <c r="B3" t="s">
        <v>54</v>
      </c>
      <c r="C3" t="s">
        <v>105</v>
      </c>
      <c r="D3" s="2" t="s">
        <v>785</v>
      </c>
      <c r="E3" s="2" t="s">
        <v>171</v>
      </c>
      <c r="F3" s="3" t="s">
        <v>1219</v>
      </c>
      <c r="L3" t="s">
        <v>103</v>
      </c>
    </row>
    <row r="4" spans="2:12" ht="14.5" customHeight="1">
      <c r="B4" t="s">
        <v>55</v>
      </c>
      <c r="C4" t="s">
        <v>105</v>
      </c>
      <c r="D4" s="2" t="s">
        <v>106</v>
      </c>
      <c r="E4" s="2" t="s">
        <v>786</v>
      </c>
      <c r="F4" t="s">
        <v>787</v>
      </c>
      <c r="L4" t="s">
        <v>104</v>
      </c>
    </row>
    <row r="5" spans="2:12" ht="14.5" customHeight="1">
      <c r="B5" t="s">
        <v>56</v>
      </c>
      <c r="C5" t="s">
        <v>105</v>
      </c>
    </row>
    <row r="6" spans="2:12" ht="14.5" customHeight="1">
      <c r="C6" t="s">
        <v>105</v>
      </c>
    </row>
    <row r="7" spans="2:12" ht="14.5" customHeight="1">
      <c r="B7" t="s">
        <v>57</v>
      </c>
      <c r="C7" t="s">
        <v>105</v>
      </c>
    </row>
    <row r="8" spans="2:12" ht="14.5" customHeight="1">
      <c r="B8" t="s">
        <v>58</v>
      </c>
      <c r="C8" t="s">
        <v>105</v>
      </c>
    </row>
    <row r="9" spans="2:12" ht="14.5" customHeight="1">
      <c r="B9" t="s">
        <v>59</v>
      </c>
      <c r="C9" t="s">
        <v>105</v>
      </c>
    </row>
    <row r="10" spans="2:12" ht="14.5" customHeight="1">
      <c r="B10" t="s">
        <v>60</v>
      </c>
      <c r="C10" t="s">
        <v>105</v>
      </c>
    </row>
    <row r="11" spans="2:12" ht="14.5" customHeight="1">
      <c r="B11" t="s">
        <v>61</v>
      </c>
      <c r="C11" t="s">
        <v>105</v>
      </c>
      <c r="L11" t="s">
        <v>220</v>
      </c>
    </row>
    <row r="12" spans="2:12" ht="14.5" customHeight="1">
      <c r="B12" t="s">
        <v>62</v>
      </c>
      <c r="C12" t="s">
        <v>105</v>
      </c>
      <c r="L12" t="s">
        <v>221</v>
      </c>
    </row>
    <row r="13" spans="2:12" ht="14.5" customHeight="1">
      <c r="B13" t="s">
        <v>63</v>
      </c>
      <c r="C13" t="s">
        <v>105</v>
      </c>
      <c r="L13" t="s">
        <v>222</v>
      </c>
    </row>
    <row r="14" spans="2:12" ht="14.5" customHeight="1">
      <c r="B14" t="s">
        <v>64</v>
      </c>
      <c r="C14" t="s">
        <v>105</v>
      </c>
      <c r="L14" t="s">
        <v>223</v>
      </c>
    </row>
    <row r="15" spans="2:12" ht="14.5" customHeight="1">
      <c r="B15" t="s">
        <v>65</v>
      </c>
      <c r="C15" t="s">
        <v>105</v>
      </c>
      <c r="L15" t="s">
        <v>224</v>
      </c>
    </row>
    <row r="16" spans="2:12" ht="14.5" customHeight="1">
      <c r="B16" t="s">
        <v>66</v>
      </c>
      <c r="C16" t="s">
        <v>105</v>
      </c>
      <c r="L16" t="s">
        <v>225</v>
      </c>
    </row>
    <row r="17" spans="2:12" ht="14.5" customHeight="1">
      <c r="B17" t="s">
        <v>67</v>
      </c>
      <c r="C17" t="s">
        <v>105</v>
      </c>
      <c r="L17" t="s">
        <v>226</v>
      </c>
    </row>
    <row r="18" spans="2:12" ht="14.5" customHeight="1">
      <c r="B18" t="s">
        <v>68</v>
      </c>
      <c r="C18" t="s">
        <v>105</v>
      </c>
    </row>
    <row r="19" spans="2:12" ht="14.5" customHeight="1">
      <c r="B19" t="s">
        <v>69</v>
      </c>
      <c r="C19" t="s">
        <v>105</v>
      </c>
      <c r="L19" t="s">
        <v>227</v>
      </c>
    </row>
    <row r="20" spans="2:12" ht="14.5" customHeight="1">
      <c r="B20" t="s">
        <v>70</v>
      </c>
      <c r="C20" t="s">
        <v>105</v>
      </c>
      <c r="L20" t="s">
        <v>228</v>
      </c>
    </row>
    <row r="21" spans="2:12" ht="14.5" customHeight="1">
      <c r="B21" t="s">
        <v>71</v>
      </c>
      <c r="C21" t="s">
        <v>105</v>
      </c>
      <c r="L21" t="s">
        <v>229</v>
      </c>
    </row>
    <row r="22" spans="2:12" ht="14.5" customHeight="1">
      <c r="B22" t="s">
        <v>72</v>
      </c>
      <c r="C22" t="s">
        <v>105</v>
      </c>
    </row>
    <row r="23" spans="2:12" ht="14.5" customHeight="1">
      <c r="B23" t="s">
        <v>73</v>
      </c>
      <c r="C23" t="s">
        <v>105</v>
      </c>
      <c r="L23" t="s">
        <v>230</v>
      </c>
    </row>
    <row r="24" spans="2:12" ht="14.5" customHeight="1">
      <c r="B24" t="s">
        <v>74</v>
      </c>
      <c r="C24" t="s">
        <v>105</v>
      </c>
    </row>
    <row r="25" spans="2:12" ht="14.5" customHeight="1">
      <c r="B25" t="s">
        <v>75</v>
      </c>
      <c r="C25" t="s">
        <v>105</v>
      </c>
      <c r="L25" t="s">
        <v>231</v>
      </c>
    </row>
    <row r="26" spans="2:12" ht="14.5" customHeight="1">
      <c r="B26" t="s">
        <v>76</v>
      </c>
      <c r="C26" t="s">
        <v>105</v>
      </c>
      <c r="L26" t="s">
        <v>232</v>
      </c>
    </row>
    <row r="27" spans="2:12" ht="14.5" customHeight="1">
      <c r="B27" t="s">
        <v>77</v>
      </c>
      <c r="C27" t="s">
        <v>105</v>
      </c>
      <c r="L27" t="s">
        <v>233</v>
      </c>
    </row>
    <row r="28" spans="2:12" ht="14.5" customHeight="1">
      <c r="B28" t="s">
        <v>78</v>
      </c>
      <c r="C28" t="s">
        <v>105</v>
      </c>
      <c r="L28" t="s">
        <v>234</v>
      </c>
    </row>
    <row r="29" spans="2:12" ht="14.5" customHeight="1">
      <c r="B29" t="s">
        <v>79</v>
      </c>
      <c r="C29" t="s">
        <v>105</v>
      </c>
    </row>
    <row r="30" spans="2:12" ht="14.5" customHeight="1">
      <c r="B30" t="s">
        <v>80</v>
      </c>
      <c r="C30" t="s">
        <v>105</v>
      </c>
    </row>
    <row r="31" spans="2:12" ht="14.5" customHeight="1">
      <c r="B31" t="s">
        <v>81</v>
      </c>
      <c r="C31" t="s">
        <v>105</v>
      </c>
      <c r="L31" s="2" t="s">
        <v>386</v>
      </c>
    </row>
    <row r="32" spans="2:12" ht="14.5" customHeight="1">
      <c r="B32" t="s">
        <v>82</v>
      </c>
      <c r="C32" t="s">
        <v>105</v>
      </c>
    </row>
    <row r="33" spans="2:12" ht="14.5" customHeight="1">
      <c r="B33" t="s">
        <v>83</v>
      </c>
      <c r="C33" t="s">
        <v>105</v>
      </c>
    </row>
    <row r="34" spans="2:12" ht="14.5" customHeight="1">
      <c r="B34" t="s">
        <v>84</v>
      </c>
      <c r="C34" t="s">
        <v>105</v>
      </c>
    </row>
    <row r="35" spans="2:12" ht="14.5" customHeight="1">
      <c r="B35" t="s">
        <v>85</v>
      </c>
      <c r="C35" t="s">
        <v>105</v>
      </c>
    </row>
    <row r="36" spans="2:12" ht="14.5" customHeight="1">
      <c r="B36" t="s">
        <v>86</v>
      </c>
      <c r="C36" t="s">
        <v>105</v>
      </c>
    </row>
    <row r="37" spans="2:12" ht="14.5" customHeight="1">
      <c r="B37" t="s">
        <v>87</v>
      </c>
      <c r="C37" t="s">
        <v>105</v>
      </c>
    </row>
    <row r="38" spans="2:12" ht="14.5" customHeight="1">
      <c r="B38" t="s">
        <v>88</v>
      </c>
      <c r="C38" t="s">
        <v>105</v>
      </c>
    </row>
    <row r="39" spans="2:12" ht="14.5" customHeight="1">
      <c r="B39" t="s">
        <v>89</v>
      </c>
      <c r="C39" t="s">
        <v>105</v>
      </c>
      <c r="L39" s="2"/>
    </row>
    <row r="40" spans="2:12" ht="14.5" customHeight="1">
      <c r="B40" t="s">
        <v>90</v>
      </c>
      <c r="C40" t="s">
        <v>105</v>
      </c>
    </row>
    <row r="41" spans="2:12" ht="14.5" customHeight="1">
      <c r="B41" t="s">
        <v>91</v>
      </c>
      <c r="C41" t="s">
        <v>105</v>
      </c>
    </row>
    <row r="42" spans="2:12" ht="14.5" customHeight="1">
      <c r="B42" t="s">
        <v>92</v>
      </c>
      <c r="C42" t="s">
        <v>105</v>
      </c>
    </row>
    <row r="43" spans="2:12" ht="14.5" customHeight="1">
      <c r="B43" t="s">
        <v>93</v>
      </c>
      <c r="C43" t="s">
        <v>105</v>
      </c>
    </row>
    <row r="44" spans="2:12" ht="14.5" customHeight="1">
      <c r="B44" t="s">
        <v>94</v>
      </c>
      <c r="C44" t="s">
        <v>105</v>
      </c>
    </row>
    <row r="45" spans="2:12" ht="14.5" customHeight="1">
      <c r="B45" t="s">
        <v>95</v>
      </c>
      <c r="C45" t="s">
        <v>105</v>
      </c>
    </row>
    <row r="46" spans="2:12" ht="14.5" customHeight="1">
      <c r="B46" t="s">
        <v>96</v>
      </c>
      <c r="C46" t="s">
        <v>105</v>
      </c>
    </row>
    <row r="47" spans="2:12" ht="14.5" customHeight="1">
      <c r="B47" t="s">
        <v>97</v>
      </c>
      <c r="C47" t="s">
        <v>105</v>
      </c>
    </row>
    <row r="48" spans="2:12" ht="14.5" customHeight="1">
      <c r="B48" t="s">
        <v>98</v>
      </c>
      <c r="C48" t="s">
        <v>105</v>
      </c>
    </row>
    <row r="49" spans="2:3" ht="14.5" customHeight="1">
      <c r="B49" t="s">
        <v>99</v>
      </c>
      <c r="C49" t="s">
        <v>105</v>
      </c>
    </row>
    <row r="50" spans="2:3" ht="14.5" customHeight="1">
      <c r="C50" t="s">
        <v>105</v>
      </c>
    </row>
    <row r="51" spans="2:3" ht="14.5" customHeight="1">
      <c r="B51" t="s">
        <v>100</v>
      </c>
      <c r="C51" t="s">
        <v>105</v>
      </c>
    </row>
    <row r="52" spans="2:3" ht="14.5" customHeight="1">
      <c r="C52" t="s">
        <v>105</v>
      </c>
    </row>
    <row r="53" spans="2:3" ht="14.5" customHeight="1">
      <c r="C53" t="s">
        <v>105</v>
      </c>
    </row>
    <row r="54" spans="2:3" ht="14.5" customHeight="1">
      <c r="C54" t="s">
        <v>105</v>
      </c>
    </row>
    <row r="55" spans="2:3" ht="14.5" customHeight="1">
      <c r="C55" t="s">
        <v>105</v>
      </c>
    </row>
    <row r="56" spans="2:3" ht="14.5" customHeight="1">
      <c r="C56" t="s">
        <v>105</v>
      </c>
    </row>
    <row r="57" spans="2:3" ht="14.5" customHeight="1">
      <c r="C57" t="s">
        <v>105</v>
      </c>
    </row>
    <row r="58" spans="2:3" ht="14.5" customHeight="1">
      <c r="C58" t="s">
        <v>105</v>
      </c>
    </row>
    <row r="59" spans="2:3" ht="14.5" customHeight="1">
      <c r="C59" t="s">
        <v>105</v>
      </c>
    </row>
    <row r="60" spans="2:3" ht="14.5" customHeight="1">
      <c r="C60" t="s">
        <v>105</v>
      </c>
    </row>
    <row r="61" spans="2:3" ht="14.5" customHeight="1">
      <c r="C61" t="s">
        <v>105</v>
      </c>
    </row>
    <row r="62" spans="2:3" ht="14.5" customHeight="1">
      <c r="C62" t="s">
        <v>105</v>
      </c>
    </row>
    <row r="63" spans="2:3" ht="14.5" customHeight="1">
      <c r="C63" t="s">
        <v>105</v>
      </c>
    </row>
    <row r="64" spans="2:3" ht="14.5" customHeight="1">
      <c r="C64" t="s">
        <v>105</v>
      </c>
    </row>
    <row r="65" spans="3:3" ht="14.5" customHeight="1">
      <c r="C65" t="s">
        <v>105</v>
      </c>
    </row>
    <row r="66" spans="3:3" ht="14.5" customHeight="1">
      <c r="C66" t="s">
        <v>105</v>
      </c>
    </row>
    <row r="67" spans="3:3" ht="14.5" customHeight="1">
      <c r="C67" t="s">
        <v>105</v>
      </c>
    </row>
    <row r="68" spans="3:3" ht="14.5" customHeight="1">
      <c r="C68" t="s">
        <v>105</v>
      </c>
    </row>
    <row r="69" spans="3:3" ht="14.5" customHeight="1">
      <c r="C69" t="s">
        <v>105</v>
      </c>
    </row>
    <row r="70" spans="3:3" ht="14.5" customHeight="1">
      <c r="C70" t="s">
        <v>105</v>
      </c>
    </row>
    <row r="71" spans="3:3" ht="14.5" customHeight="1">
      <c r="C71" t="s">
        <v>105</v>
      </c>
    </row>
    <row r="72" spans="3:3" ht="14.5" customHeight="1">
      <c r="C72" t="s">
        <v>105</v>
      </c>
    </row>
    <row r="73" spans="3:3" ht="14.5" customHeight="1">
      <c r="C73" t="s">
        <v>105</v>
      </c>
    </row>
    <row r="74" spans="3:3" ht="14.5" customHeight="1">
      <c r="C74" t="s">
        <v>105</v>
      </c>
    </row>
    <row r="75" spans="3:3" ht="14.5" customHeight="1">
      <c r="C75" t="s">
        <v>105</v>
      </c>
    </row>
    <row r="76" spans="3:3" ht="14.5" customHeight="1">
      <c r="C76" t="s">
        <v>105</v>
      </c>
    </row>
    <row r="77" spans="3:3" ht="14.5" customHeight="1">
      <c r="C77" t="s">
        <v>105</v>
      </c>
    </row>
    <row r="78" spans="3:3" ht="14.5" customHeight="1">
      <c r="C78" t="s">
        <v>105</v>
      </c>
    </row>
    <row r="79" spans="3:3" ht="14.5" customHeight="1">
      <c r="C79" t="s">
        <v>105</v>
      </c>
    </row>
    <row r="80" spans="3:3" ht="14.5" customHeight="1">
      <c r="C80" t="s">
        <v>105</v>
      </c>
    </row>
    <row r="81" spans="3:3" ht="14.5" customHeight="1">
      <c r="C81" t="s">
        <v>105</v>
      </c>
    </row>
    <row r="82" spans="3:3" ht="14.5" customHeight="1">
      <c r="C82" t="s">
        <v>105</v>
      </c>
    </row>
    <row r="83" spans="3:3" ht="14.5" customHeight="1">
      <c r="C83" t="s">
        <v>105</v>
      </c>
    </row>
    <row r="84" spans="3:3" ht="14.5" customHeight="1">
      <c r="C84" t="s">
        <v>105</v>
      </c>
    </row>
    <row r="85" spans="3:3" ht="14.5" customHeight="1">
      <c r="C85" t="s">
        <v>105</v>
      </c>
    </row>
    <row r="86" spans="3:3" ht="14.5" customHeight="1">
      <c r="C86" t="s">
        <v>105</v>
      </c>
    </row>
    <row r="87" spans="3:3" ht="14.5" customHeight="1">
      <c r="C87" t="s">
        <v>105</v>
      </c>
    </row>
    <row r="88" spans="3:3" ht="14.5" customHeight="1">
      <c r="C88" t="s">
        <v>105</v>
      </c>
    </row>
    <row r="89" spans="3:3" ht="14.5" customHeight="1">
      <c r="C89" t="s">
        <v>105</v>
      </c>
    </row>
    <row r="90" spans="3:3" ht="14.5" customHeight="1">
      <c r="C90" t="s">
        <v>105</v>
      </c>
    </row>
    <row r="91" spans="3:3" ht="14.5" customHeight="1">
      <c r="C91" t="s">
        <v>105</v>
      </c>
    </row>
    <row r="92" spans="3:3" ht="14.5" customHeight="1">
      <c r="C92" t="s">
        <v>105</v>
      </c>
    </row>
    <row r="93" spans="3:3" ht="14.5" customHeight="1">
      <c r="C93" t="s">
        <v>105</v>
      </c>
    </row>
    <row r="94" spans="3:3" ht="14.5" customHeight="1">
      <c r="C94" t="s">
        <v>105</v>
      </c>
    </row>
    <row r="95" spans="3:3" ht="14.5" customHeight="1">
      <c r="C95" t="s">
        <v>105</v>
      </c>
    </row>
    <row r="96" spans="3:3" ht="14.5" customHeight="1">
      <c r="C96" t="s">
        <v>105</v>
      </c>
    </row>
    <row r="97" spans="3:3" ht="14.5" customHeight="1">
      <c r="C97" t="s">
        <v>105</v>
      </c>
    </row>
    <row r="98" spans="3:3" ht="14.5" customHeight="1">
      <c r="C98" t="s">
        <v>105</v>
      </c>
    </row>
    <row r="99" spans="3:3" ht="14.5" customHeight="1">
      <c r="C99" t="s">
        <v>105</v>
      </c>
    </row>
    <row r="100" spans="3:3" ht="14.5" customHeight="1">
      <c r="C100" t="s">
        <v>105</v>
      </c>
    </row>
    <row r="101" spans="3:3" ht="14.5" customHeight="1">
      <c r="C101" t="s">
        <v>105</v>
      </c>
    </row>
    <row r="102" spans="3:3" ht="14.5" customHeight="1">
      <c r="C102" t="s">
        <v>105</v>
      </c>
    </row>
    <row r="103" spans="3:3" ht="14.5" customHeight="1">
      <c r="C103" t="s">
        <v>105</v>
      </c>
    </row>
    <row r="104" spans="3:3" ht="14.5" customHeight="1">
      <c r="C104" t="s">
        <v>105</v>
      </c>
    </row>
    <row r="105" spans="3:3" ht="14.5" customHeight="1">
      <c r="C105" t="s">
        <v>105</v>
      </c>
    </row>
    <row r="106" spans="3:3" ht="14.5" customHeight="1">
      <c r="C106" t="s">
        <v>105</v>
      </c>
    </row>
    <row r="107" spans="3:3" ht="14.5" customHeight="1">
      <c r="C107" t="s">
        <v>105</v>
      </c>
    </row>
    <row r="108" spans="3:3" ht="14.5" customHeight="1">
      <c r="C108" t="s">
        <v>105</v>
      </c>
    </row>
    <row r="109" spans="3:3" ht="14.5" customHeight="1">
      <c r="C109" t="s">
        <v>105</v>
      </c>
    </row>
    <row r="110" spans="3:3" ht="14.5" customHeight="1">
      <c r="C110" t="s">
        <v>105</v>
      </c>
    </row>
    <row r="111" spans="3:3" ht="14.5" customHeight="1">
      <c r="C111" t="s">
        <v>105</v>
      </c>
    </row>
    <row r="112" spans="3:3" ht="14.5" customHeight="1">
      <c r="C112" t="s">
        <v>105</v>
      </c>
    </row>
    <row r="113" spans="3:3" ht="14.5" customHeight="1">
      <c r="C113" t="s">
        <v>105</v>
      </c>
    </row>
    <row r="114" spans="3:3" ht="14.5" customHeight="1">
      <c r="C114" t="s">
        <v>105</v>
      </c>
    </row>
    <row r="115" spans="3:3" ht="14.5" customHeight="1">
      <c r="C115" t="s">
        <v>105</v>
      </c>
    </row>
    <row r="116" spans="3:3" ht="14.5" customHeight="1">
      <c r="C116" t="s">
        <v>105</v>
      </c>
    </row>
    <row r="117" spans="3:3" ht="14.5" customHeight="1">
      <c r="C117" t="s">
        <v>105</v>
      </c>
    </row>
    <row r="118" spans="3:3" ht="14.5" customHeight="1">
      <c r="C118" t="s">
        <v>105</v>
      </c>
    </row>
    <row r="119" spans="3:3" ht="14.5" customHeight="1">
      <c r="C119" t="s">
        <v>105</v>
      </c>
    </row>
    <row r="120" spans="3:3" ht="14.5" customHeight="1">
      <c r="C120" t="s">
        <v>105</v>
      </c>
    </row>
    <row r="121" spans="3:3" ht="14.5" customHeight="1">
      <c r="C121" t="s">
        <v>105</v>
      </c>
    </row>
    <row r="122" spans="3:3" ht="14.5" customHeight="1">
      <c r="C122" t="s">
        <v>105</v>
      </c>
    </row>
    <row r="123" spans="3:3" ht="14.5" customHeight="1">
      <c r="C123" t="s">
        <v>105</v>
      </c>
    </row>
    <row r="124" spans="3:3" ht="14.5" customHeight="1">
      <c r="C124" t="s">
        <v>105</v>
      </c>
    </row>
    <row r="125" spans="3:3" ht="14.5" customHeight="1">
      <c r="C125" t="s">
        <v>105</v>
      </c>
    </row>
    <row r="126" spans="3:3" ht="14.5" customHeight="1">
      <c r="C126" t="s">
        <v>105</v>
      </c>
    </row>
    <row r="127" spans="3:3" ht="14.5" customHeight="1">
      <c r="C127" t="s">
        <v>105</v>
      </c>
    </row>
    <row r="128" spans="3:3" ht="14.5" customHeight="1">
      <c r="C128" t="s">
        <v>105</v>
      </c>
    </row>
    <row r="129" spans="3:3" ht="14.5" customHeight="1">
      <c r="C129" t="s">
        <v>105</v>
      </c>
    </row>
    <row r="130" spans="3:3" ht="14.5" customHeight="1">
      <c r="C130" t="s">
        <v>105</v>
      </c>
    </row>
    <row r="131" spans="3:3" ht="14.5" customHeight="1">
      <c r="C131" t="s">
        <v>105</v>
      </c>
    </row>
    <row r="132" spans="3:3" ht="14.5" customHeight="1">
      <c r="C132" t="s">
        <v>105</v>
      </c>
    </row>
    <row r="133" spans="3:3" ht="14.5" customHeight="1">
      <c r="C133" t="s">
        <v>105</v>
      </c>
    </row>
    <row r="134" spans="3:3" ht="14.5" customHeight="1">
      <c r="C134" t="s">
        <v>105</v>
      </c>
    </row>
    <row r="135" spans="3:3" ht="14.5" customHeight="1">
      <c r="C135" t="s">
        <v>105</v>
      </c>
    </row>
    <row r="136" spans="3:3" ht="14.5" customHeight="1">
      <c r="C136" t="s">
        <v>105</v>
      </c>
    </row>
    <row r="137" spans="3:3" ht="14.5" customHeight="1">
      <c r="C137" t="s">
        <v>105</v>
      </c>
    </row>
    <row r="138" spans="3:3" ht="14.5" customHeight="1">
      <c r="C138" t="s">
        <v>105</v>
      </c>
    </row>
    <row r="139" spans="3:3" ht="14.5" customHeight="1">
      <c r="C139" t="s">
        <v>105</v>
      </c>
    </row>
    <row r="140" spans="3:3" ht="14.5" customHeight="1">
      <c r="C140" t="s">
        <v>105</v>
      </c>
    </row>
    <row r="141" spans="3:3" ht="14.5" customHeight="1">
      <c r="C141" t="s">
        <v>105</v>
      </c>
    </row>
    <row r="142" spans="3:3" ht="14.5" customHeight="1">
      <c r="C142" t="s">
        <v>105</v>
      </c>
    </row>
    <row r="143" spans="3:3" ht="14.5" customHeight="1">
      <c r="C143" t="s">
        <v>105</v>
      </c>
    </row>
    <row r="144" spans="3:3" ht="14.5" customHeight="1">
      <c r="C144" t="s">
        <v>105</v>
      </c>
    </row>
    <row r="145" spans="3:3" ht="14.5" customHeight="1">
      <c r="C145" t="s">
        <v>105</v>
      </c>
    </row>
    <row r="146" spans="3:3" ht="14.5" customHeight="1">
      <c r="C146" t="s">
        <v>105</v>
      </c>
    </row>
    <row r="147" spans="3:3" ht="14.5" customHeight="1">
      <c r="C147" t="s">
        <v>105</v>
      </c>
    </row>
    <row r="148" spans="3:3" ht="14.5" customHeight="1">
      <c r="C148" t="s">
        <v>105</v>
      </c>
    </row>
    <row r="149" spans="3:3" ht="14.5" customHeight="1">
      <c r="C149" t="s">
        <v>105</v>
      </c>
    </row>
    <row r="150" spans="3:3" ht="14.5" customHeight="1">
      <c r="C150" t="s">
        <v>105</v>
      </c>
    </row>
    <row r="151" spans="3:3" ht="14.5" customHeight="1">
      <c r="C151" t="s">
        <v>105</v>
      </c>
    </row>
    <row r="152" spans="3:3" ht="14.5" customHeight="1">
      <c r="C152" t="s">
        <v>105</v>
      </c>
    </row>
    <row r="153" spans="3:3" ht="14.5" customHeight="1">
      <c r="C153" t="s">
        <v>105</v>
      </c>
    </row>
    <row r="154" spans="3:3" ht="14.5" customHeight="1">
      <c r="C154" t="s">
        <v>105</v>
      </c>
    </row>
    <row r="155" spans="3:3" ht="14.5" customHeight="1">
      <c r="C155" t="s">
        <v>105</v>
      </c>
    </row>
    <row r="156" spans="3:3" ht="14.5" customHeight="1">
      <c r="C156" t="s">
        <v>105</v>
      </c>
    </row>
    <row r="157" spans="3:3" ht="14.5" customHeight="1">
      <c r="C157" t="s">
        <v>105</v>
      </c>
    </row>
    <row r="158" spans="3:3" ht="14.5" customHeight="1">
      <c r="C158" t="s">
        <v>105</v>
      </c>
    </row>
    <row r="159" spans="3:3" ht="14.5" customHeight="1">
      <c r="C159" t="s">
        <v>105</v>
      </c>
    </row>
    <row r="160" spans="3:3" ht="14.5" customHeight="1">
      <c r="C160" t="s">
        <v>105</v>
      </c>
    </row>
    <row r="161" spans="3:3" ht="14.5" customHeight="1">
      <c r="C161" t="s">
        <v>105</v>
      </c>
    </row>
    <row r="162" spans="3:3" ht="14.5" customHeight="1">
      <c r="C162" t="s">
        <v>105</v>
      </c>
    </row>
    <row r="163" spans="3:3" ht="14.5" customHeight="1">
      <c r="C163" t="s">
        <v>105</v>
      </c>
    </row>
    <row r="164" spans="3:3" ht="14.5" customHeight="1">
      <c r="C164" t="s">
        <v>105</v>
      </c>
    </row>
    <row r="165" spans="3:3" ht="14.5" customHeight="1">
      <c r="C165" t="s">
        <v>105</v>
      </c>
    </row>
    <row r="166" spans="3:3" ht="14.5" customHeight="1">
      <c r="C166" t="s">
        <v>105</v>
      </c>
    </row>
    <row r="167" spans="3:3" ht="14.5" customHeight="1">
      <c r="C167" t="s">
        <v>105</v>
      </c>
    </row>
    <row r="168" spans="3:3" ht="14.5" customHeight="1">
      <c r="C168" t="s">
        <v>105</v>
      </c>
    </row>
    <row r="169" spans="3:3" ht="14.5" customHeight="1">
      <c r="C169" t="s">
        <v>105</v>
      </c>
    </row>
    <row r="170" spans="3:3" ht="14.5" customHeight="1">
      <c r="C170" t="s">
        <v>105</v>
      </c>
    </row>
    <row r="171" spans="3:3" ht="14.5" customHeight="1">
      <c r="C171" t="s">
        <v>105</v>
      </c>
    </row>
    <row r="172" spans="3:3" ht="14.5" customHeight="1">
      <c r="C172" t="s">
        <v>105</v>
      </c>
    </row>
    <row r="173" spans="3:3" ht="14.5" customHeight="1">
      <c r="C173" t="s">
        <v>105</v>
      </c>
    </row>
    <row r="174" spans="3:3" ht="14.5" customHeight="1">
      <c r="C174" t="s">
        <v>105</v>
      </c>
    </row>
    <row r="175" spans="3:3" ht="14.5" customHeight="1">
      <c r="C175" t="s">
        <v>105</v>
      </c>
    </row>
    <row r="176" spans="3:3" ht="14.5" customHeight="1">
      <c r="C176" t="s">
        <v>105</v>
      </c>
    </row>
    <row r="177" spans="3:3" ht="14.5" customHeight="1">
      <c r="C177" t="s">
        <v>105</v>
      </c>
    </row>
    <row r="178" spans="3:3" ht="14.5" customHeight="1">
      <c r="C178" t="s">
        <v>105</v>
      </c>
    </row>
    <row r="179" spans="3:3" ht="14.5" customHeight="1">
      <c r="C179" t="s">
        <v>105</v>
      </c>
    </row>
    <row r="180" spans="3:3" ht="14.5" customHeight="1">
      <c r="C180" t="s">
        <v>105</v>
      </c>
    </row>
    <row r="181" spans="3:3" ht="14.5" customHeight="1">
      <c r="C181" t="s">
        <v>105</v>
      </c>
    </row>
    <row r="182" spans="3:3" ht="14.5" customHeight="1">
      <c r="C182" t="s">
        <v>105</v>
      </c>
    </row>
    <row r="183" spans="3:3" ht="14.5" customHeight="1">
      <c r="C183" t="s">
        <v>105</v>
      </c>
    </row>
    <row r="184" spans="3:3" ht="14.5" customHeight="1">
      <c r="C184" t="s">
        <v>105</v>
      </c>
    </row>
    <row r="185" spans="3:3" ht="14.5" customHeight="1">
      <c r="C185" t="s">
        <v>105</v>
      </c>
    </row>
    <row r="186" spans="3:3" ht="14.5" customHeight="1">
      <c r="C186" t="s">
        <v>105</v>
      </c>
    </row>
    <row r="187" spans="3:3" ht="14.5" customHeight="1">
      <c r="C187" t="s">
        <v>105</v>
      </c>
    </row>
    <row r="188" spans="3:3" ht="14.5" customHeight="1">
      <c r="C188" t="s">
        <v>105</v>
      </c>
    </row>
    <row r="189" spans="3:3" ht="14.5" customHeight="1">
      <c r="C189" t="s">
        <v>105</v>
      </c>
    </row>
    <row r="190" spans="3:3" ht="14.5" customHeight="1">
      <c r="C190" t="s">
        <v>105</v>
      </c>
    </row>
    <row r="191" spans="3:3" ht="14.5" customHeight="1">
      <c r="C191" t="s">
        <v>105</v>
      </c>
    </row>
    <row r="192" spans="3:3" ht="14.5" customHeight="1">
      <c r="C192" t="s">
        <v>105</v>
      </c>
    </row>
    <row r="193" spans="3:3" ht="14.5" customHeight="1">
      <c r="C193" t="s">
        <v>105</v>
      </c>
    </row>
    <row r="194" spans="3:3" ht="14.5" customHeight="1">
      <c r="C194" t="s">
        <v>105</v>
      </c>
    </row>
    <row r="195" spans="3:3" ht="14.5" customHeight="1">
      <c r="C195" t="s">
        <v>105</v>
      </c>
    </row>
    <row r="196" spans="3:3" ht="14.5" customHeight="1">
      <c r="C196" t="s">
        <v>105</v>
      </c>
    </row>
    <row r="197" spans="3:3" ht="14.5" customHeight="1">
      <c r="C197" t="s">
        <v>105</v>
      </c>
    </row>
    <row r="198" spans="3:3" ht="14.5" customHeight="1">
      <c r="C198" t="s">
        <v>105</v>
      </c>
    </row>
    <row r="199" spans="3:3" ht="14.5" customHeight="1">
      <c r="C199" t="s">
        <v>105</v>
      </c>
    </row>
    <row r="200" spans="3:3" ht="14.5" customHeight="1">
      <c r="C200" t="s">
        <v>105</v>
      </c>
    </row>
    <row r="201" spans="3:3" ht="14.5" customHeight="1">
      <c r="C201" t="s">
        <v>105</v>
      </c>
    </row>
    <row r="202" spans="3:3" ht="14.5" customHeight="1">
      <c r="C202" t="s">
        <v>105</v>
      </c>
    </row>
    <row r="203" spans="3:3" ht="14.5" customHeight="1">
      <c r="C203" t="s">
        <v>105</v>
      </c>
    </row>
    <row r="204" spans="3:3" ht="14.5" customHeight="1">
      <c r="C204" t="s">
        <v>105</v>
      </c>
    </row>
    <row r="205" spans="3:3" ht="14.5" customHeight="1">
      <c r="C205" t="s">
        <v>105</v>
      </c>
    </row>
    <row r="206" spans="3:3" ht="14.5" customHeight="1">
      <c r="C206" t="s">
        <v>105</v>
      </c>
    </row>
    <row r="207" spans="3:3" ht="14.5" customHeight="1">
      <c r="C207" t="s">
        <v>105</v>
      </c>
    </row>
    <row r="208" spans="3:3" ht="14.5" customHeight="1">
      <c r="C208" t="s">
        <v>105</v>
      </c>
    </row>
    <row r="209" spans="3:3" ht="14.5" customHeight="1">
      <c r="C209" t="s">
        <v>105</v>
      </c>
    </row>
    <row r="210" spans="3:3" ht="14.5" customHeight="1">
      <c r="C210" t="s">
        <v>105</v>
      </c>
    </row>
    <row r="211" spans="3:3" ht="14.5" customHeight="1">
      <c r="C211" t="s">
        <v>105</v>
      </c>
    </row>
    <row r="212" spans="3:3" ht="14.5" customHeight="1">
      <c r="C212" t="s">
        <v>105</v>
      </c>
    </row>
    <row r="213" spans="3:3" ht="14.5" customHeight="1">
      <c r="C213" t="s">
        <v>105</v>
      </c>
    </row>
    <row r="214" spans="3:3" ht="14.5" customHeight="1">
      <c r="C214" t="s">
        <v>105</v>
      </c>
    </row>
    <row r="215" spans="3:3" ht="14.5" customHeight="1">
      <c r="C215" t="s">
        <v>105</v>
      </c>
    </row>
    <row r="216" spans="3:3" ht="14.5" customHeight="1">
      <c r="C216" t="s">
        <v>105</v>
      </c>
    </row>
    <row r="217" spans="3:3" ht="14.5" customHeight="1">
      <c r="C217" t="s">
        <v>105</v>
      </c>
    </row>
    <row r="218" spans="3:3" ht="14.5" customHeight="1">
      <c r="C218" t="s">
        <v>105</v>
      </c>
    </row>
    <row r="219" spans="3:3" ht="14.5" customHeight="1">
      <c r="C219" t="s">
        <v>105</v>
      </c>
    </row>
    <row r="220" spans="3:3" ht="14.5" customHeight="1">
      <c r="C220" t="s">
        <v>105</v>
      </c>
    </row>
    <row r="221" spans="3:3" ht="14.5" customHeight="1">
      <c r="C221" t="s">
        <v>105</v>
      </c>
    </row>
    <row r="222" spans="3:3" ht="14.5" customHeight="1">
      <c r="C222" t="s">
        <v>105</v>
      </c>
    </row>
    <row r="223" spans="3:3" ht="14.5" customHeight="1">
      <c r="C223" t="s">
        <v>105</v>
      </c>
    </row>
    <row r="224" spans="3:3" ht="14.5" customHeight="1">
      <c r="C224" t="s">
        <v>105</v>
      </c>
    </row>
    <row r="225" spans="3:3" ht="14.5" customHeight="1">
      <c r="C225" t="s">
        <v>105</v>
      </c>
    </row>
    <row r="226" spans="3:3" ht="14.5" customHeight="1">
      <c r="C226" t="s">
        <v>105</v>
      </c>
    </row>
    <row r="227" spans="3:3" ht="14.5" customHeight="1">
      <c r="C227" t="s">
        <v>105</v>
      </c>
    </row>
    <row r="228" spans="3:3" ht="14.5" customHeight="1">
      <c r="C228" t="s">
        <v>105</v>
      </c>
    </row>
    <row r="229" spans="3:3" ht="14.5" customHeight="1">
      <c r="C229" t="s">
        <v>105</v>
      </c>
    </row>
    <row r="230" spans="3:3" ht="14.5" customHeight="1">
      <c r="C230" t="s">
        <v>105</v>
      </c>
    </row>
    <row r="231" spans="3:3" ht="14.5" customHeight="1">
      <c r="C231" t="s">
        <v>105</v>
      </c>
    </row>
    <row r="232" spans="3:3" ht="14.5" customHeight="1">
      <c r="C232" t="s">
        <v>105</v>
      </c>
    </row>
    <row r="233" spans="3:3" ht="14.5" customHeight="1">
      <c r="C233" t="s">
        <v>105</v>
      </c>
    </row>
    <row r="234" spans="3:3" ht="14.5" customHeight="1">
      <c r="C234" t="s">
        <v>105</v>
      </c>
    </row>
    <row r="235" spans="3:3" ht="14.5" customHeight="1">
      <c r="C235" t="s">
        <v>105</v>
      </c>
    </row>
    <row r="236" spans="3:3" ht="14.5" customHeight="1">
      <c r="C236" t="s">
        <v>105</v>
      </c>
    </row>
    <row r="237" spans="3:3" ht="14.5" customHeight="1">
      <c r="C237" t="s">
        <v>105</v>
      </c>
    </row>
    <row r="238" spans="3:3" ht="14.5" customHeight="1">
      <c r="C238" t="s">
        <v>105</v>
      </c>
    </row>
    <row r="239" spans="3:3" ht="14.5" customHeight="1">
      <c r="C239" t="s">
        <v>105</v>
      </c>
    </row>
    <row r="240" spans="3:3" ht="14.5" customHeight="1">
      <c r="C240" t="s">
        <v>105</v>
      </c>
    </row>
    <row r="241" spans="3:3" ht="14.5" customHeight="1">
      <c r="C241" t="s">
        <v>105</v>
      </c>
    </row>
    <row r="242" spans="3:3" ht="14.5" customHeight="1">
      <c r="C242" t="s">
        <v>105</v>
      </c>
    </row>
    <row r="243" spans="3:3" ht="14.5" customHeight="1">
      <c r="C243" t="s">
        <v>105</v>
      </c>
    </row>
    <row r="244" spans="3:3" ht="14.5" customHeight="1">
      <c r="C244" t="s">
        <v>105</v>
      </c>
    </row>
    <row r="245" spans="3:3" ht="14.5" customHeight="1">
      <c r="C245" t="s">
        <v>105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B564-DCE9-4BFA-8419-2D45729C4469}">
  <dimension ref="B2:B3"/>
  <sheetViews>
    <sheetView workbookViewId="0">
      <selection activeCell="B5" sqref="B5"/>
    </sheetView>
  </sheetViews>
  <sheetFormatPr defaultRowHeight="14.5"/>
  <sheetData>
    <row r="2" spans="2:2">
      <c r="B2" s="6" t="s">
        <v>496</v>
      </c>
    </row>
    <row r="3" spans="2:2">
      <c r="B3" s="6" t="s">
        <v>497</v>
      </c>
    </row>
  </sheetData>
  <hyperlinks>
    <hyperlink ref="B3" r:id="rId1" xr:uid="{29144E6D-8615-4070-8200-5DF0783E590D}"/>
    <hyperlink ref="B2" r:id="rId2" xr:uid="{CEAD8D34-5979-484B-A5AD-A244E7089F5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8DC79-11D1-413C-9B62-DFA3A71931F9}">
  <dimension ref="A1:N54"/>
  <sheetViews>
    <sheetView workbookViewId="0">
      <pane ySplit="1" topLeftCell="A2" activePane="bottomLeft" state="frozen"/>
      <selection pane="bottomLeft" activeCell="E30" sqref="E30"/>
    </sheetView>
  </sheetViews>
  <sheetFormatPr defaultRowHeight="14.5" customHeight="1"/>
  <cols>
    <col min="1" max="1" width="8.6328125" style="3" customWidth="1"/>
    <col min="2" max="2" width="25.6328125" style="3" customWidth="1"/>
    <col min="3" max="3" width="3.6328125" style="3" customWidth="1"/>
    <col min="4" max="4" width="8.6328125" style="3" customWidth="1"/>
    <col min="5" max="5" width="25.6328125" style="3" customWidth="1"/>
    <col min="6" max="6" width="3.6328125" style="3" customWidth="1"/>
    <col min="7" max="7" width="8.6328125" style="3" customWidth="1"/>
    <col min="8" max="8" width="25.6328125" style="3" customWidth="1"/>
    <col min="9" max="9" width="3.6328125" style="3" customWidth="1"/>
    <col min="10" max="10" width="8.6328125" style="3" customWidth="1"/>
    <col min="11" max="11" width="25.6328125" style="3" customWidth="1"/>
    <col min="12" max="12" width="3.6328125" style="3" customWidth="1"/>
    <col min="13" max="13" width="6.6328125" style="3" customWidth="1"/>
    <col min="14" max="14" width="25.6328125" style="3" customWidth="1"/>
    <col min="15" max="15" width="3.6328125" style="3" customWidth="1"/>
    <col min="16" max="16" width="6.6328125" style="3" customWidth="1"/>
    <col min="17" max="17" width="25.6328125" style="3" customWidth="1"/>
    <col min="18" max="18" width="3.6328125" style="3" customWidth="1"/>
    <col min="19" max="19" width="6.6328125" style="3" customWidth="1"/>
    <col min="20" max="20" width="25.6328125" style="3" customWidth="1"/>
    <col min="21" max="21" width="8.7265625" style="3"/>
    <col min="22" max="22" width="25.6328125" style="3" customWidth="1"/>
    <col min="23" max="16384" width="8.7265625" style="3"/>
  </cols>
  <sheetData>
    <row r="1" spans="1:14" ht="14.5" customHeight="1">
      <c r="B1" s="3" t="s">
        <v>11</v>
      </c>
      <c r="E1" s="3" t="s">
        <v>101</v>
      </c>
      <c r="H1" s="3" t="s">
        <v>8</v>
      </c>
      <c r="K1" s="3" t="s">
        <v>3</v>
      </c>
      <c r="N1" s="3" t="s">
        <v>529</v>
      </c>
    </row>
    <row r="3" spans="1:14" s="9" customFormat="1" ht="14.5" customHeight="1">
      <c r="A3" s="9">
        <v>1870</v>
      </c>
      <c r="B3" s="9" t="s">
        <v>108</v>
      </c>
      <c r="G3" s="9">
        <v>1870</v>
      </c>
      <c r="H3" s="9" t="s">
        <v>135</v>
      </c>
      <c r="J3" s="9">
        <v>1870</v>
      </c>
      <c r="K3" s="9" t="s">
        <v>135</v>
      </c>
    </row>
    <row r="4" spans="1:14" s="9" customFormat="1" ht="14.5" customHeight="1">
      <c r="B4" s="9" t="s">
        <v>109</v>
      </c>
      <c r="H4" s="9" t="s">
        <v>136</v>
      </c>
      <c r="K4" s="9" t="s">
        <v>150</v>
      </c>
    </row>
    <row r="5" spans="1:14" s="9" customFormat="1" ht="14.5" customHeight="1">
      <c r="B5" s="9" t="s">
        <v>110</v>
      </c>
      <c r="H5" s="9" t="s">
        <v>137</v>
      </c>
      <c r="K5" s="9" t="s">
        <v>151</v>
      </c>
    </row>
    <row r="6" spans="1:14" s="9" customFormat="1" ht="14.5" customHeight="1">
      <c r="B6" s="9" t="s">
        <v>111</v>
      </c>
      <c r="H6" s="9" t="s">
        <v>138</v>
      </c>
      <c r="K6" s="9" t="s">
        <v>152</v>
      </c>
    </row>
    <row r="8" spans="1:14" s="9" customFormat="1" ht="14.5" customHeight="1">
      <c r="A8" s="9">
        <v>1909</v>
      </c>
      <c r="B8" s="9" t="s">
        <v>108</v>
      </c>
      <c r="D8" s="9">
        <v>1910</v>
      </c>
      <c r="E8" s="9" t="s">
        <v>120</v>
      </c>
      <c r="G8" s="9">
        <v>1909</v>
      </c>
      <c r="H8" s="9" t="s">
        <v>135</v>
      </c>
      <c r="J8" s="9">
        <v>1909</v>
      </c>
      <c r="K8" s="9" t="s">
        <v>135</v>
      </c>
      <c r="M8" s="9">
        <v>1910</v>
      </c>
      <c r="N8" s="9" t="s">
        <v>889</v>
      </c>
    </row>
    <row r="9" spans="1:14" s="9" customFormat="1" ht="14.5" customHeight="1">
      <c r="B9" s="9" t="s">
        <v>109</v>
      </c>
      <c r="E9" s="9" t="s">
        <v>121</v>
      </c>
      <c r="H9" s="9" t="s">
        <v>136</v>
      </c>
      <c r="K9" s="9" t="s">
        <v>150</v>
      </c>
      <c r="N9" s="9" t="s">
        <v>888</v>
      </c>
    </row>
    <row r="10" spans="1:14" s="9" customFormat="1" ht="14.5" customHeight="1">
      <c r="B10" s="9" t="s">
        <v>110</v>
      </c>
      <c r="E10" s="9" t="s">
        <v>122</v>
      </c>
      <c r="H10" s="9" t="s">
        <v>137</v>
      </c>
      <c r="K10" s="9" t="s">
        <v>151</v>
      </c>
      <c r="N10" s="9" t="s">
        <v>887</v>
      </c>
    </row>
    <row r="11" spans="1:14" s="9" customFormat="1" ht="14.5" customHeight="1">
      <c r="B11" s="9" t="s">
        <v>111</v>
      </c>
      <c r="E11" s="9" t="s">
        <v>123</v>
      </c>
      <c r="H11" s="9" t="s">
        <v>139</v>
      </c>
      <c r="K11" s="9" t="s">
        <v>152</v>
      </c>
      <c r="N11" s="9" t="s">
        <v>886</v>
      </c>
    </row>
    <row r="13" spans="1:14" s="9" customFormat="1" ht="14.5" customHeight="1">
      <c r="A13" s="9">
        <v>1924</v>
      </c>
      <c r="B13" s="9" t="s">
        <v>112</v>
      </c>
      <c r="G13" s="9">
        <v>1924</v>
      </c>
      <c r="H13" s="9" t="s">
        <v>140</v>
      </c>
      <c r="J13" s="9">
        <v>1924</v>
      </c>
      <c r="K13" s="9" t="s">
        <v>140</v>
      </c>
    </row>
    <row r="14" spans="1:14" s="9" customFormat="1" ht="14.5" customHeight="1">
      <c r="B14" s="9" t="s">
        <v>113</v>
      </c>
      <c r="H14" s="9" t="s">
        <v>136</v>
      </c>
      <c r="K14" s="9" t="s">
        <v>150</v>
      </c>
    </row>
    <row r="15" spans="1:14" s="9" customFormat="1" ht="14.5" customHeight="1">
      <c r="B15" s="9" t="s">
        <v>114</v>
      </c>
      <c r="H15" s="9" t="s">
        <v>137</v>
      </c>
      <c r="K15" s="9" t="s">
        <v>151</v>
      </c>
    </row>
    <row r="16" spans="1:14" s="9" customFormat="1" ht="14.5" customHeight="1">
      <c r="B16" s="9" t="s">
        <v>111</v>
      </c>
      <c r="H16" s="9" t="s">
        <v>141</v>
      </c>
      <c r="K16" s="9" t="s">
        <v>152</v>
      </c>
    </row>
    <row r="18" spans="1:14" s="9" customFormat="1" ht="14.5" customHeight="1">
      <c r="A18" s="9">
        <v>1933</v>
      </c>
      <c r="B18" s="9" t="s">
        <v>112</v>
      </c>
      <c r="D18" s="9">
        <v>1926</v>
      </c>
      <c r="E18" s="9" t="s">
        <v>124</v>
      </c>
      <c r="G18" s="9">
        <v>1926</v>
      </c>
      <c r="H18" s="9" t="s">
        <v>142</v>
      </c>
      <c r="J18" s="9">
        <v>1926</v>
      </c>
      <c r="K18" s="9" t="s">
        <v>153</v>
      </c>
      <c r="M18" s="9">
        <v>1926</v>
      </c>
      <c r="N18" s="9" t="s">
        <v>890</v>
      </c>
    </row>
    <row r="19" spans="1:14" s="9" customFormat="1" ht="14.5" customHeight="1">
      <c r="B19" s="9" t="s">
        <v>113</v>
      </c>
      <c r="E19" s="9" t="s">
        <v>125</v>
      </c>
      <c r="H19" s="9" t="s">
        <v>143</v>
      </c>
      <c r="K19" s="9" t="s">
        <v>154</v>
      </c>
      <c r="N19" s="9" t="s">
        <v>891</v>
      </c>
    </row>
    <row r="20" spans="1:14" s="9" customFormat="1" ht="14.5" customHeight="1">
      <c r="B20" s="9" t="s">
        <v>115</v>
      </c>
      <c r="E20" s="9" t="s">
        <v>126</v>
      </c>
      <c r="H20" s="9" t="s">
        <v>144</v>
      </c>
      <c r="K20" s="9" t="s">
        <v>155</v>
      </c>
      <c r="N20" s="9" t="s">
        <v>892</v>
      </c>
    </row>
    <row r="21" spans="1:14" s="9" customFormat="1" ht="14.5" customHeight="1">
      <c r="B21" s="9" t="s">
        <v>111</v>
      </c>
      <c r="E21" s="9" t="s">
        <v>127</v>
      </c>
      <c r="H21" s="9" t="s">
        <v>145</v>
      </c>
      <c r="K21" s="9" t="s">
        <v>152</v>
      </c>
      <c r="N21" s="9" t="s">
        <v>886</v>
      </c>
    </row>
    <row r="22" spans="1:14" ht="14.5" customHeight="1">
      <c r="D22" s="8" t="s">
        <v>1292</v>
      </c>
      <c r="E22" s="3" t="s">
        <v>1086</v>
      </c>
      <c r="G22" s="23" t="s">
        <v>916</v>
      </c>
      <c r="H22" s="4" t="s">
        <v>917</v>
      </c>
    </row>
    <row r="23" spans="1:14" ht="14.5" customHeight="1">
      <c r="E23" s="4" t="s">
        <v>915</v>
      </c>
      <c r="G23" s="8" t="s">
        <v>532</v>
      </c>
      <c r="H23" s="3" t="s">
        <v>533</v>
      </c>
      <c r="J23" s="8" t="s">
        <v>900</v>
      </c>
      <c r="K23" s="3" t="s">
        <v>901</v>
      </c>
    </row>
    <row r="25" spans="1:14" s="9" customFormat="1" ht="14.5" customHeight="1">
      <c r="A25" s="9">
        <v>2017</v>
      </c>
      <c r="B25" s="9" t="s">
        <v>116</v>
      </c>
      <c r="D25" s="9">
        <v>2017</v>
      </c>
      <c r="E25" s="9" t="s">
        <v>128</v>
      </c>
      <c r="G25" s="9">
        <v>2017</v>
      </c>
      <c r="H25" s="9" t="s">
        <v>146</v>
      </c>
      <c r="J25" s="9">
        <v>2017</v>
      </c>
      <c r="K25" s="9" t="s">
        <v>146</v>
      </c>
      <c r="M25" s="9">
        <v>2017</v>
      </c>
      <c r="N25" s="9" t="s">
        <v>146</v>
      </c>
    </row>
    <row r="26" spans="1:14" s="9" customFormat="1" ht="14.5" customHeight="1">
      <c r="B26" s="9" t="s">
        <v>117</v>
      </c>
      <c r="E26" s="9" t="s">
        <v>129</v>
      </c>
      <c r="H26" s="9" t="s">
        <v>147</v>
      </c>
      <c r="K26" s="9" t="s">
        <v>156</v>
      </c>
      <c r="N26" s="9" t="s">
        <v>893</v>
      </c>
    </row>
    <row r="27" spans="1:14" s="9" customFormat="1" ht="14.5" customHeight="1">
      <c r="B27" s="9" t="s">
        <v>118</v>
      </c>
      <c r="E27" s="9" t="s">
        <v>130</v>
      </c>
      <c r="H27" s="9" t="s">
        <v>148</v>
      </c>
      <c r="K27" s="9" t="s">
        <v>157</v>
      </c>
      <c r="N27" s="9" t="s">
        <v>894</v>
      </c>
    </row>
    <row r="28" spans="1:14" s="9" customFormat="1" ht="14.5" customHeight="1">
      <c r="B28" s="9" t="s">
        <v>119</v>
      </c>
      <c r="E28" s="9" t="s">
        <v>123</v>
      </c>
      <c r="H28" s="9" t="s">
        <v>138</v>
      </c>
      <c r="K28" s="9" t="s">
        <v>152</v>
      </c>
      <c r="N28" s="9" t="s">
        <v>886</v>
      </c>
    </row>
    <row r="32" spans="1:14" ht="14.5" customHeight="1">
      <c r="B32" s="3" t="s">
        <v>132</v>
      </c>
      <c r="E32" s="3" t="s">
        <v>131</v>
      </c>
      <c r="H32" s="4" t="s">
        <v>149</v>
      </c>
      <c r="K32" s="4" t="s">
        <v>158</v>
      </c>
      <c r="N32" s="4" t="s">
        <v>885</v>
      </c>
    </row>
    <row r="33" spans="1:11" ht="14.5" customHeight="1">
      <c r="B33" s="3" t="s">
        <v>134</v>
      </c>
    </row>
    <row r="34" spans="1:11" ht="14.5" customHeight="1">
      <c r="B34" s="3" t="s">
        <v>133</v>
      </c>
    </row>
    <row r="38" spans="1:11" ht="14.5" customHeight="1">
      <c r="A38" s="3" t="s">
        <v>159</v>
      </c>
      <c r="B38" s="3" t="s">
        <v>197</v>
      </c>
      <c r="D38" s="3" t="s">
        <v>159</v>
      </c>
      <c r="E38" s="3" t="s">
        <v>188</v>
      </c>
      <c r="G38" s="3" t="s">
        <v>159</v>
      </c>
      <c r="H38" s="3" t="s">
        <v>160</v>
      </c>
      <c r="J38" s="3" t="s">
        <v>159</v>
      </c>
      <c r="K38" s="3" t="s">
        <v>209</v>
      </c>
    </row>
    <row r="39" spans="1:11" ht="14.5" customHeight="1">
      <c r="A39" s="3" t="s">
        <v>161</v>
      </c>
      <c r="B39" s="3" t="s">
        <v>11</v>
      </c>
      <c r="D39" s="3" t="s">
        <v>161</v>
      </c>
      <c r="E39" s="3" t="s">
        <v>101</v>
      </c>
      <c r="G39" s="3" t="s">
        <v>161</v>
      </c>
      <c r="H39" s="3" t="s">
        <v>8</v>
      </c>
      <c r="J39" s="3" t="s">
        <v>161</v>
      </c>
      <c r="K39" s="3" t="s">
        <v>3</v>
      </c>
    </row>
    <row r="40" spans="1:11" ht="14.5" customHeight="1">
      <c r="A40" s="3" t="s">
        <v>198</v>
      </c>
      <c r="B40" s="3" t="s">
        <v>199</v>
      </c>
      <c r="D40" s="3" t="s">
        <v>162</v>
      </c>
      <c r="E40" s="3" t="s">
        <v>189</v>
      </c>
      <c r="G40" s="3" t="s">
        <v>162</v>
      </c>
      <c r="H40" s="3" t="s">
        <v>163</v>
      </c>
      <c r="J40" s="3" t="s">
        <v>162</v>
      </c>
      <c r="K40" s="3" t="s">
        <v>210</v>
      </c>
    </row>
    <row r="41" spans="1:11" ht="14.5" customHeight="1">
      <c r="A41" s="3" t="s">
        <v>162</v>
      </c>
      <c r="B41" s="3" t="s">
        <v>200</v>
      </c>
      <c r="D41" s="3" t="s">
        <v>190</v>
      </c>
      <c r="E41" s="3" t="s">
        <v>191</v>
      </c>
      <c r="G41" s="3" t="s">
        <v>164</v>
      </c>
      <c r="H41" s="3" t="s">
        <v>165</v>
      </c>
      <c r="J41" s="3" t="s">
        <v>164</v>
      </c>
      <c r="K41" s="3" t="s">
        <v>211</v>
      </c>
    </row>
    <row r="42" spans="1:11" ht="14.5" customHeight="1">
      <c r="A42" s="3" t="s">
        <v>164</v>
      </c>
      <c r="B42" s="3" t="s">
        <v>200</v>
      </c>
      <c r="D42" s="3" t="s">
        <v>178</v>
      </c>
      <c r="E42" s="3" t="s">
        <v>192</v>
      </c>
      <c r="G42" s="3" t="s">
        <v>166</v>
      </c>
      <c r="H42" s="3" t="s">
        <v>167</v>
      </c>
      <c r="J42" s="3" t="s">
        <v>166</v>
      </c>
      <c r="K42" s="3" t="s">
        <v>212</v>
      </c>
    </row>
    <row r="43" spans="1:11" ht="14.5" customHeight="1">
      <c r="A43" s="3" t="s">
        <v>166</v>
      </c>
      <c r="B43" s="3" t="s">
        <v>201</v>
      </c>
      <c r="D43" s="3" t="s">
        <v>180</v>
      </c>
      <c r="E43" s="3" t="s">
        <v>193</v>
      </c>
      <c r="G43" s="3" t="s">
        <v>168</v>
      </c>
      <c r="H43" s="3" t="s">
        <v>169</v>
      </c>
      <c r="J43" s="3" t="s">
        <v>168</v>
      </c>
      <c r="K43" s="3" t="s">
        <v>169</v>
      </c>
    </row>
    <row r="44" spans="1:11" ht="14.5" customHeight="1">
      <c r="A44" s="3" t="s">
        <v>168</v>
      </c>
      <c r="B44" s="3" t="s">
        <v>202</v>
      </c>
      <c r="D44" s="3" t="s">
        <v>182</v>
      </c>
      <c r="E44" s="3" t="s">
        <v>194</v>
      </c>
      <c r="G44" s="3" t="s">
        <v>170</v>
      </c>
      <c r="H44" s="3" t="s">
        <v>171</v>
      </c>
      <c r="J44" s="3" t="s">
        <v>172</v>
      </c>
      <c r="K44" s="3" t="s">
        <v>213</v>
      </c>
    </row>
    <row r="45" spans="1:11" ht="14.5" customHeight="1">
      <c r="A45" s="3" t="s">
        <v>170</v>
      </c>
      <c r="B45" s="3" t="s">
        <v>201</v>
      </c>
      <c r="D45" s="3" t="s">
        <v>183</v>
      </c>
      <c r="E45" s="3" t="s">
        <v>195</v>
      </c>
      <c r="G45" s="3" t="s">
        <v>172</v>
      </c>
      <c r="H45" s="3" t="s">
        <v>173</v>
      </c>
      <c r="J45" s="3" t="s">
        <v>174</v>
      </c>
      <c r="K45" s="3" t="s">
        <v>214</v>
      </c>
    </row>
    <row r="46" spans="1:11" ht="14.5" customHeight="1">
      <c r="A46" s="3" t="s">
        <v>172</v>
      </c>
      <c r="B46" s="3" t="s">
        <v>203</v>
      </c>
      <c r="D46" s="3" t="s">
        <v>185</v>
      </c>
      <c r="E46" s="3" t="s">
        <v>194</v>
      </c>
      <c r="G46" s="3" t="s">
        <v>174</v>
      </c>
      <c r="H46" s="3" t="s">
        <v>175</v>
      </c>
      <c r="J46" s="3" t="s">
        <v>176</v>
      </c>
      <c r="K46" s="3" t="s">
        <v>215</v>
      </c>
    </row>
    <row r="47" spans="1:11" ht="14.5" customHeight="1">
      <c r="A47" s="3" t="s">
        <v>174</v>
      </c>
      <c r="B47" s="3" t="s">
        <v>204</v>
      </c>
      <c r="D47" s="3" t="s">
        <v>187</v>
      </c>
      <c r="E47" s="3" t="s">
        <v>196</v>
      </c>
      <c r="G47" s="3" t="s">
        <v>176</v>
      </c>
      <c r="H47" s="3" t="s">
        <v>177</v>
      </c>
      <c r="J47" s="3" t="s">
        <v>178</v>
      </c>
      <c r="K47" s="3" t="s">
        <v>216</v>
      </c>
    </row>
    <row r="48" spans="1:11" ht="14.5" customHeight="1">
      <c r="A48" s="3" t="s">
        <v>176</v>
      </c>
      <c r="B48" s="3" t="s">
        <v>205</v>
      </c>
      <c r="G48" s="3" t="s">
        <v>178</v>
      </c>
      <c r="H48" s="3" t="s">
        <v>179</v>
      </c>
      <c r="J48" s="3" t="s">
        <v>180</v>
      </c>
      <c r="K48" s="3" t="s">
        <v>217</v>
      </c>
    </row>
    <row r="49" spans="1:11" ht="14.5" customHeight="1">
      <c r="A49" s="3" t="s">
        <v>178</v>
      </c>
      <c r="B49" s="3" t="s">
        <v>206</v>
      </c>
      <c r="G49" s="3" t="s">
        <v>180</v>
      </c>
      <c r="H49" s="3" t="s">
        <v>181</v>
      </c>
      <c r="J49" s="3" t="s">
        <v>182</v>
      </c>
      <c r="K49" s="3" t="s">
        <v>215</v>
      </c>
    </row>
    <row r="50" spans="1:11" ht="14.5" customHeight="1">
      <c r="A50" s="3" t="s">
        <v>180</v>
      </c>
      <c r="B50" s="3" t="s">
        <v>207</v>
      </c>
      <c r="G50" s="3" t="s">
        <v>182</v>
      </c>
      <c r="H50" s="3" t="s">
        <v>177</v>
      </c>
      <c r="J50" s="3" t="s">
        <v>183</v>
      </c>
      <c r="K50" s="3" t="s">
        <v>195</v>
      </c>
    </row>
    <row r="51" spans="1:11" ht="14.5" customHeight="1">
      <c r="A51" s="3" t="s">
        <v>182</v>
      </c>
      <c r="B51" s="3" t="s">
        <v>205</v>
      </c>
      <c r="G51" s="3" t="s">
        <v>183</v>
      </c>
      <c r="H51" s="3" t="s">
        <v>184</v>
      </c>
      <c r="J51" s="3" t="s">
        <v>185</v>
      </c>
      <c r="K51" s="3" t="s">
        <v>218</v>
      </c>
    </row>
    <row r="52" spans="1:11" ht="14.5" customHeight="1">
      <c r="A52" s="3" t="s">
        <v>183</v>
      </c>
      <c r="B52" s="3" t="s">
        <v>195</v>
      </c>
      <c r="G52" s="3" t="s">
        <v>185</v>
      </c>
      <c r="H52" s="3" t="s">
        <v>186</v>
      </c>
      <c r="J52" s="3" t="s">
        <v>187</v>
      </c>
      <c r="K52" s="3" t="s">
        <v>219</v>
      </c>
    </row>
    <row r="53" spans="1:11" ht="14.5" customHeight="1">
      <c r="A53" s="3" t="s">
        <v>185</v>
      </c>
      <c r="B53" s="3" t="s">
        <v>208</v>
      </c>
      <c r="G53" s="3" t="s">
        <v>187</v>
      </c>
      <c r="H53" s="3" t="s">
        <v>186</v>
      </c>
    </row>
    <row r="54" spans="1:11" ht="14.5" customHeight="1">
      <c r="A54" s="3" t="s">
        <v>187</v>
      </c>
      <c r="B54" s="3" t="s">
        <v>208</v>
      </c>
    </row>
  </sheetData>
  <hyperlinks>
    <hyperlink ref="B3" r:id="rId1" display="https://www.radzima.net/ru/guberniya/minskaya.html" xr:uid="{199855FA-E61B-44ED-BC5A-D5D487A6DA77}"/>
    <hyperlink ref="B4" r:id="rId2" display="https://www.radzima.net/ru/uezd/pinskiy.html" xr:uid="{BDF92B40-2F3E-4ADB-A0E4-E139F83D2434}"/>
    <hyperlink ref="B5" r:id="rId3" display="https://www.radzima.net/ru/volost/logishinskaya.html" xr:uid="{F4EA2CFA-33B9-4F5C-9E2F-06FB0FDA6F2A}"/>
    <hyperlink ref="B6" r:id="rId4" display="https://www.radzima.net/ru/miejsce/waliszcze_1.html" xr:uid="{2B44FAA4-50D3-46FB-AF2B-8B47BB098273}"/>
    <hyperlink ref="B8" r:id="rId5" display="https://www.radzima.net/ru/guberniya/minskaya-1909.html" xr:uid="{07763F3E-DB00-4041-847B-628E14C0BDF3}"/>
    <hyperlink ref="B9" r:id="rId6" display="https://www.radzima.net/ru/uezd/pinskiy-1909.html" xr:uid="{DB8622F8-0E10-498D-9FA7-F0E3C2535392}"/>
    <hyperlink ref="B10" r:id="rId7" display="https://www.radzima.net/ru/volost/logishinskaya-1909.html" xr:uid="{10A529CF-C1E3-4DF1-B28A-D946F1402BF0}"/>
    <hyperlink ref="B11" r:id="rId8" display="https://www.radzima.net/ru/miejsce/waliszcze_1.html" xr:uid="{B0A76574-37F5-4253-9285-0307049229E9}"/>
    <hyperlink ref="B13" r:id="rId9" display="https://www.radzima.net/ru/wojewodztwo/poleskie.html" xr:uid="{BCB290FA-2AD7-4803-A650-A4B72F82B8D0}"/>
    <hyperlink ref="B14" r:id="rId10" display="https://www.radzima.net/ru/powiat/pinsk.html" xr:uid="{77631AD3-5291-45AE-9CDD-5168A4E70913}"/>
    <hyperlink ref="B15" r:id="rId11" display="https://www.radzima.net/ru/gmina/lohiszyn-2.html" xr:uid="{84398861-6EAA-46A8-9BB8-2262F513CE21}"/>
    <hyperlink ref="B16" r:id="rId12" display="https://www.radzima.net/ru/miejsce/waliszcze_1.html" xr:uid="{B4AB2FA1-7EDD-4CA3-8425-90B4E6AF4A56}"/>
    <hyperlink ref="B18" r:id="rId13" display="https://www.radzima.net/ru/wojewodztwo/poleskie_1933.html" xr:uid="{3CC2A4FE-413E-4471-957C-7787A613C377}"/>
    <hyperlink ref="B20" r:id="rId14" display="https://www.radzima.net/ru/gmina/lohiszyn-2-1933.html" xr:uid="{2C16A8F9-87DE-442F-9D1C-0CCB170A5E68}"/>
    <hyperlink ref="B19" r:id="rId15" display="https://www.radzima.net/ru/powiat/pinski-1933.html" xr:uid="{41942391-3157-44B3-8359-69074FA63DB3}"/>
    <hyperlink ref="B21" r:id="rId16" display="https://www.radzima.net/ru/miejsce/waliszcze_1.html" xr:uid="{A2A669A8-CAB9-47EF-86EE-60D80BE2A369}"/>
    <hyperlink ref="B25" r:id="rId17" display="https://www.radzima.net/ru/oblasc/brestskaya.html" xr:uid="{F56C0612-251D-4F22-88E6-EB5DBAFCD4A5}"/>
    <hyperlink ref="B26" r:id="rId18" display="https://www.radzima.net/ru/rayon/pinski.html" xr:uid="{F944E533-8E8A-413D-A0AF-FE3BD81891AB}"/>
    <hyperlink ref="B27" r:id="rId19" display="https://www.radzima.net/ru/selsovet/valishchenskiy.html" xr:uid="{7B3D6C85-025F-4EDD-BDC8-A9D19748F016}"/>
    <hyperlink ref="B28" r:id="rId20" display="https://www.radzima.net/ru/miejsce/waliszcze_1.html" xr:uid="{3C5DB6E9-EB49-487B-AC71-CB98F7C0FCFA}"/>
    <hyperlink ref="E8" r:id="rId21" display="https://www.radzima.net/ru/guberniya/mogilevskaya.html" xr:uid="{C792AA43-2FE2-4820-A92D-26C7A76BBB9E}"/>
    <hyperlink ref="E9" r:id="rId22" display="https://www.radzima.net/ru/uezd/sennenskiy.html" xr:uid="{CF9AC978-5B58-45EE-8EE3-F9BB2CFA75A3}"/>
    <hyperlink ref="E10" r:id="rId23" display="https://www.radzima.net/ru/volost/obchugskaya.html" xr:uid="{FE8EE059-B0F3-4531-A3E1-09EB8F1844D6}"/>
    <hyperlink ref="E11" r:id="rId24" display="https://www.radzima.net/ru/miejsce/ostrovki_1.html" xr:uid="{A18E77B1-E6EF-4CE3-BC82-ECAB57E55106}"/>
    <hyperlink ref="E18" r:id="rId25" display="https://www.radzima.net/ru/okrug/borisovskiy-1926.html" xr:uid="{332FAA70-2747-44C6-97F5-0A97A43366A6}"/>
    <hyperlink ref="E19" r:id="rId26" display="https://www.radzima.net/ru/rayon/cherejskij-1926.html" xr:uid="{835A2A8B-13D9-4D78-B47D-EE0EECCE2B20}"/>
    <hyperlink ref="E20" r:id="rId27" display="https://www.radzima.net/ru/selsovet/dubovskiy-1926.html" xr:uid="{BA87B5B0-AF04-4785-937B-BE9AD36E8ED3}"/>
    <hyperlink ref="E21" r:id="rId28" display="https://www.radzima.net/ru/miejsce/ostrovki_1.html" xr:uid="{226ACFB1-1788-45AE-ABD9-FD6F88EFFE1B}"/>
    <hyperlink ref="E25" r:id="rId29" display="https://www.radzima.net/ru/oblasc/minskaja-2017.html" xr:uid="{8B66902E-9ACE-40F6-A013-E70D2567F6B0}"/>
    <hyperlink ref="E26" r:id="rId30" display="https://www.radzima.net/ru/rayon/krupski.html" xr:uid="{CADDDBDB-82A0-43B1-91BE-8CECD7D39178}"/>
    <hyperlink ref="E27" r:id="rId31" display="https://www.radzima.net/ru/selsovet/oktjabrskij-m.html" xr:uid="{4777383B-9DDC-4AF7-9B8B-EC879668CDC5}"/>
    <hyperlink ref="E28" r:id="rId32" display="https://www.radzima.net/ru/miejsce/ostrovki_1.html" xr:uid="{4F3B4E1B-3035-4CA0-92F2-2199FBFD01D0}"/>
    <hyperlink ref="E32" r:id="rId33" display="https://www.radzima.net/ru/prihod/obchugskiy-sennenskiy.html" xr:uid="{D066B61D-D11E-467E-A1DF-8F8B9A80F5C5}"/>
    <hyperlink ref="B33" r:id="rId34" display="https://www.radzima.net/ru/prihod/ozarichskiy-pokrovskiy.html" xr:uid="{5715268C-6E63-4F4D-A708-3AE2869DB5BD}"/>
    <hyperlink ref="B32" r:id="rId35" display="https://www.radzima.net/ru/prihod/logishinskiy.html" xr:uid="{B0A77548-3DC5-4D09-88F7-A3E19DE31BB0}"/>
    <hyperlink ref="B34" r:id="rId36" display="https://www.radzima.net/ru/parafia/lahiszyn-kosciol.html" xr:uid="{D5778EF1-86F5-49A6-91C6-6FA103C2F6AE}"/>
    <hyperlink ref="H3" r:id="rId37" display="https://www.radzima.net/ru/guberniya/minskaya.html" xr:uid="{3D5171D0-AE01-4A97-8D5E-6B184D03D450}"/>
    <hyperlink ref="H4" r:id="rId38" display="https://www.radzima.net/ru/uezd/minskiy.html" xr:uid="{D5B171AE-804A-4F34-A2A0-62CA4F4BC582}"/>
    <hyperlink ref="H5" r:id="rId39" display="https://www.radzima.net/ru/volost/staroselskaya-3.html" xr:uid="{4526B757-DF6B-49EF-BB7E-2FCD6E7FAD33}"/>
    <hyperlink ref="H6" r:id="rId40" display="https://www.radzima.net/ru/miejsce/plashevo.html" xr:uid="{C727F491-3FCD-4ACD-851F-2E05482DF5DA}"/>
    <hyperlink ref="H8" r:id="rId41" display="https://www.radzima.net/ru/guberniya/minskaya-1909.html" xr:uid="{545D5955-6D8A-408F-9106-46861650558C}"/>
    <hyperlink ref="H9" r:id="rId42" display="https://www.radzima.net/ru/uezd/minskiy-1909.html" xr:uid="{649169EE-D876-4B88-A5CD-4E466DDCEF99}"/>
    <hyperlink ref="H10" r:id="rId43" display="https://www.radzima.net/ru/volost/staroselskaya-3-1909.html" xr:uid="{F1E728E4-2826-49F6-95A3-8E301FDBA4B6}"/>
    <hyperlink ref="H11" r:id="rId44" display="https://www.radzima.net/ru/miejsce/plashevo.html" xr:uid="{CF163516-988A-433F-9C6A-D37C04EE37F9}"/>
    <hyperlink ref="H13" r:id="rId45" display="https://www.radzima.net/ru/bssr/1924.html" xr:uid="{B87B4721-286A-406E-95C6-59D60E1B074A}"/>
    <hyperlink ref="H14" r:id="rId46" display="https://www.radzima.net/ru/uezd/minskiy-1924.html" xr:uid="{0A12F34B-8AAD-495F-A9E8-8FF623A1290E}"/>
    <hyperlink ref="H15" r:id="rId47" display="https://www.radzima.net/ru/volost/staroselskaya-3-1924.html" xr:uid="{D3E5FD3F-B10D-4C9F-8C22-AA8142D3ED8A}"/>
    <hyperlink ref="H16" r:id="rId48" display="https://www.radzima.net/ru/miejsce/plashevo.html" xr:uid="{4DCA0C6A-5CF0-476C-B3BE-324A0360B478}"/>
    <hyperlink ref="H18" r:id="rId49" display="https://www.radzima.net/ru/okrug/minskiy-1926.html" xr:uid="{3BE254CE-688B-416A-A1F8-BE562F220ED3}"/>
    <hyperlink ref="H19" r:id="rId50" display="https://www.radzima.net/ru/rayon/zaslavskij-1926.html" xr:uid="{D0B631EA-2B6E-4E2B-AC3D-202870D3DFCD}"/>
    <hyperlink ref="H20" r:id="rId51" display="https://www.radzima.net/ru/selsovet/staroselskiy-zss.html" xr:uid="{4200E809-E011-4880-B7F6-3F62665FA5A2}"/>
    <hyperlink ref="H21" r:id="rId52" display="https://www.radzima.net/ru/miejsce/plashevo.html" xr:uid="{230103EB-6F3D-4537-B60B-EF8340560714}"/>
    <hyperlink ref="H25" r:id="rId53" display="https://www.radzima.net/ru/oblasc/minskaja-2017.html" xr:uid="{A97014A4-251F-4EAB-A51F-4C9F6CC6EA78}"/>
    <hyperlink ref="H26" r:id="rId54" display="https://www.radzima.net/ru/rayon/dziarzhynski.html" xr:uid="{B6CF4DC8-69B0-4E83-A99E-97F0D62A53DC}"/>
    <hyperlink ref="H27" r:id="rId55" display="https://www.radzima.net/ru/selsovet/demidovichskij-m.html" xr:uid="{B5B7A5DF-64D8-44E6-93FA-D82364BB9F7B}"/>
    <hyperlink ref="H28" r:id="rId56" display="https://www.radzima.net/ru/miejsce/plashevo.html" xr:uid="{7A2A50A9-2C70-41E5-B43C-03EDE9F08039}"/>
    <hyperlink ref="H32" r:id="rId57" display="https://www.radzima.net/ru/prihod/staroselyskiy-bogorodicy.html" xr:uid="{D9E9F669-4604-46E1-9819-32764B283870}"/>
    <hyperlink ref="K3" r:id="rId58" display="https://www.radzima.net/ru/guberniya/minskaya.html" xr:uid="{A74D29A8-8F23-4FB0-97A7-C62214B8DA4B}"/>
    <hyperlink ref="K4" r:id="rId59" display="https://www.radzima.net/ru/uezd/slutskiy.html" xr:uid="{DFE6688E-7088-4C7A-B255-DFD1BC6E2917}"/>
    <hyperlink ref="K5" r:id="rId60" display="https://www.radzima.net/ru/volost/greskaya.html" xr:uid="{1B39831E-5300-4E7F-B03F-866CB0312BEA}"/>
    <hyperlink ref="K6" r:id="rId61" display="https://www.radzima.net/ru/miejsce/shmichitsy.html" xr:uid="{2771EDAE-EA4D-42A7-B028-C9CA17A34F7E}"/>
    <hyperlink ref="K8" r:id="rId62" display="https://www.radzima.net/ru/guberniya/minskaya-1909.html" xr:uid="{5B345796-999C-494B-8469-91D4CE9B3384}"/>
    <hyperlink ref="K9" r:id="rId63" display="https://www.radzima.net/ru/uezd/slutskiy-1909.html" xr:uid="{75B582DB-8EA1-4ACA-B02A-F38AB16A3F94}"/>
    <hyperlink ref="K10" r:id="rId64" display="https://www.radzima.net/ru/volost/greskaya-1909.html" xr:uid="{3F222B50-2B46-40DB-A5F0-4AF1ADA58FB1}"/>
    <hyperlink ref="K11" r:id="rId65" display="https://www.radzima.net/ru/miejsce/shmichitsy.html" xr:uid="{2A126B36-3178-47B8-BB4A-7A9CE1C88DB2}"/>
    <hyperlink ref="K13" r:id="rId66" display="https://www.radzima.net/ru/bssr/1924.html" xr:uid="{3D84545F-2A47-4493-AE00-7C64F8F33CB8}"/>
    <hyperlink ref="K14" r:id="rId67" display="https://www.radzima.net/ru/uezd/slutskiy-1924.html" xr:uid="{89E41358-BF66-4713-87C0-C24477AEC6E1}"/>
    <hyperlink ref="K15" r:id="rId68" display="https://www.radzima.net/ru/volost/greskaya-1924.html" xr:uid="{8D3436FA-E5BC-43D1-B785-8363EB35FFE9}"/>
    <hyperlink ref="K16" r:id="rId69" display="https://www.radzima.net/ru/miejsce/shmichitsy.html" xr:uid="{2FE8C9DE-C5E7-4043-8F1E-EE36ADF7BBDC}"/>
    <hyperlink ref="K18" r:id="rId70" display="https://www.radzima.net/ru/okrug/sluckiy-1926.html" xr:uid="{C8D43379-07E3-45A7-AB99-D276B67473DE}"/>
    <hyperlink ref="K19" r:id="rId71" display="https://www.radzima.net/ru/rayon/gresskij-1926.html" xr:uid="{AD33AE5D-778A-45C7-A351-3BDCFA238FDD}"/>
    <hyperlink ref="K20" r:id="rId72" display="https://www.radzima.net/ru/selsovet/shishchitskiy-1926.html" xr:uid="{99BFF62D-34CA-4DBD-A825-B8E40965CF4E}"/>
    <hyperlink ref="K21" r:id="rId73" display="https://www.radzima.net/ru/miejsce/shmichitsy.html" xr:uid="{2D8213E9-1DBD-4FC0-894B-0E610A47CBA0}"/>
    <hyperlink ref="K25" r:id="rId74" display="https://www.radzima.net/ru/oblasc/minskaja-2017.html" xr:uid="{4FC1EC26-6323-4AEA-97BF-1B01BFB633F5}"/>
    <hyperlink ref="K26" r:id="rId75" display="https://www.radzima.net/ru/rayon/slucki.html" xr:uid="{1AC874A9-6B29-4A83-A4D7-CF332AE070DF}"/>
    <hyperlink ref="K27" r:id="rId76" display="https://www.radzima.net/ru/selsovet/gacukovskij-m.html" xr:uid="{00D7EC68-5990-482A-B621-0439C85BC130}"/>
    <hyperlink ref="K28" r:id="rId77" display="https://www.radzima.net/ru/miejsce/shmichitsy.html" xr:uid="{12B95733-83FA-450D-B24A-29427E28763F}"/>
    <hyperlink ref="K32" r:id="rId78" display="https://www.radzima.net/ru/prihod/zabelyskiy.html" xr:uid="{1D4B605A-6229-42C4-AA8A-5E5A6B6693EA}"/>
    <hyperlink ref="N32" r:id="rId79" display="https://www.radzima.net/ru/prihod/kolodnickiy-sennenskiy.html" xr:uid="{A71541EA-6A30-482E-8E9B-263AF755B785}"/>
    <hyperlink ref="N28" r:id="rId80" display="https://www.radzima.net/ru/miejsce/kharitantsy_1.html" xr:uid="{4CF153FC-8779-481D-907B-0F01F148EB49}"/>
    <hyperlink ref="N21" r:id="rId81" display="https://www.radzima.net/ru/miejsce/kharitantsy_1.html" xr:uid="{6917B596-E477-42C5-8FD5-077943BCEC9B}"/>
    <hyperlink ref="N11" r:id="rId82" display="https://www.radzima.net/ru/miejsce/kharitantsy_1.html" xr:uid="{468846D2-670C-45DC-A0D4-776362142036}"/>
    <hyperlink ref="N10" r:id="rId83" display="https://www.radzima.net/ru/volost/chereyskaya.html" xr:uid="{ACB30683-9401-4F3A-8746-117E8F48BAE3}"/>
    <hyperlink ref="N9" r:id="rId84" display="https://www.radzima.net/ru/uezd/sennenskiy.html" xr:uid="{0AA64A93-CAE6-4525-98EF-9E9D136D2DE2}"/>
    <hyperlink ref="N8" r:id="rId85" display="https://www.radzima.net/ru/guberniya/mogilevskaya.html" xr:uid="{3DEBFE28-0EB5-44A1-9A0C-1B7C4BC6C4A8}"/>
    <hyperlink ref="N18" r:id="rId86" display="https://www.radzima.net/ru/okrug/borisovskiy-1926.html" xr:uid="{FFE8F97E-88D2-45ED-9BFC-CD75BA785FEE}"/>
    <hyperlink ref="N19" r:id="rId87" display="https://www.radzima.net/ru/rayon/cherejskij-1926.html" xr:uid="{35E54049-D4FE-4A20-9B1D-F77368EEA46F}"/>
    <hyperlink ref="N20" r:id="rId88" display="https://www.radzima.net/ru/selsovet/zaborskiy-1926.html" xr:uid="{FC01CB0F-CF30-4B9D-ADB3-AC8D60BCDA3E}"/>
    <hyperlink ref="N25" r:id="rId89" display="https://www.radzima.net/ru/oblasc/minskaja-2017.html" xr:uid="{2AB42580-6B0B-4568-AE1B-4BAEF038B48B}"/>
    <hyperlink ref="N26" r:id="rId90" display="https://www.radzima.net/ru/rayon/krupski.html" xr:uid="{E550544D-7F6F-4EA3-82EB-525F5F92C6BB}"/>
    <hyperlink ref="N27" r:id="rId91" display="https://www.radzima.net/ru/selsovet/oktjabrskij-m.html" xr:uid="{959E993A-A8CE-4641-8FF6-1503445EB435}"/>
  </hyperlinks>
  <pageMargins left="0.7" right="0.7" top="0.75" bottom="0.75" header="0.3" footer="0.3"/>
  <pageSetup orientation="portrait" r:id="rId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F634-1B0B-48CD-94BB-796DD0F975F3}">
  <dimension ref="A1:M401"/>
  <sheetViews>
    <sheetView tabSelected="1" workbookViewId="0">
      <pane ySplit="1" topLeftCell="A2" activePane="bottomLeft" state="frozen"/>
      <selection pane="bottomLeft" activeCell="G280" sqref="G280"/>
    </sheetView>
  </sheetViews>
  <sheetFormatPr defaultRowHeight="14.5" customHeight="1"/>
  <cols>
    <col min="1" max="1" width="8.7265625" style="11"/>
    <col min="2" max="3" width="6.6328125" style="11" customWidth="1"/>
    <col min="4" max="4" width="10.81640625" style="11" customWidth="1"/>
    <col min="5" max="5" width="4.1796875" style="32" customWidth="1"/>
    <col min="6" max="6" width="49.54296875" style="11" customWidth="1"/>
    <col min="7" max="7" width="15.7265625" style="11" customWidth="1"/>
    <col min="8" max="8" width="17.81640625" style="11" customWidth="1"/>
    <col min="9" max="9" width="12.08984375" style="11" customWidth="1"/>
    <col min="10" max="10" width="12.36328125" style="19" customWidth="1"/>
    <col min="11" max="11" width="9.7265625" style="56" customWidth="1"/>
    <col min="12" max="12" width="65" style="37" customWidth="1"/>
    <col min="13" max="16384" width="8.7265625" style="11"/>
  </cols>
  <sheetData>
    <row r="1" spans="1:13" ht="14.5" customHeight="1">
      <c r="A1" s="10" t="s">
        <v>908</v>
      </c>
      <c r="B1" s="11" t="s">
        <v>534</v>
      </c>
      <c r="C1" s="11" t="s">
        <v>535</v>
      </c>
      <c r="D1" s="11" t="s">
        <v>536</v>
      </c>
      <c r="E1" s="32" t="s">
        <v>105</v>
      </c>
      <c r="F1" s="10"/>
      <c r="G1" s="10"/>
      <c r="H1" s="10"/>
      <c r="I1" s="10" t="s">
        <v>538</v>
      </c>
      <c r="K1" s="56" t="s">
        <v>1312</v>
      </c>
      <c r="M1" s="10" t="s">
        <v>565</v>
      </c>
    </row>
    <row r="2" spans="1:13" s="13" customFormat="1" ht="14.5" customHeight="1">
      <c r="A2" s="13" t="s">
        <v>537</v>
      </c>
      <c r="B2" s="13">
        <v>30</v>
      </c>
      <c r="C2" s="13">
        <v>2</v>
      </c>
      <c r="E2" s="33"/>
      <c r="F2" s="12"/>
      <c r="G2" s="12"/>
      <c r="H2" s="12"/>
      <c r="I2" s="12"/>
      <c r="J2" s="53"/>
      <c r="K2" s="57"/>
      <c r="L2" s="38"/>
      <c r="M2" s="12"/>
    </row>
    <row r="3" spans="1:13" s="17" customFormat="1" ht="14.5" customHeight="1">
      <c r="D3" s="17">
        <v>1477</v>
      </c>
      <c r="E3" s="32" t="s">
        <v>1135</v>
      </c>
      <c r="F3" s="10" t="s">
        <v>541</v>
      </c>
      <c r="G3" s="17" t="s">
        <v>1096</v>
      </c>
      <c r="I3" s="17">
        <v>1925</v>
      </c>
      <c r="J3" s="54"/>
      <c r="K3" s="58"/>
      <c r="L3" s="37" t="s">
        <v>1100</v>
      </c>
    </row>
    <row r="4" spans="1:13" s="17" customFormat="1" ht="14.5" customHeight="1">
      <c r="B4" s="29"/>
      <c r="C4" s="29"/>
      <c r="D4" s="25">
        <v>1541</v>
      </c>
      <c r="E4" s="32" t="s">
        <v>1134</v>
      </c>
      <c r="F4" s="10" t="s">
        <v>740</v>
      </c>
      <c r="G4" s="25" t="s">
        <v>218</v>
      </c>
      <c r="H4" s="29"/>
      <c r="I4" s="29"/>
      <c r="J4" s="54"/>
      <c r="K4" s="58"/>
      <c r="L4" s="37" t="s">
        <v>1241</v>
      </c>
    </row>
    <row r="5" spans="1:13" s="17" customFormat="1" ht="14.5" customHeight="1">
      <c r="D5" s="17" t="s">
        <v>1150</v>
      </c>
      <c r="E5" s="35" t="s">
        <v>1135</v>
      </c>
      <c r="F5" s="10" t="s">
        <v>740</v>
      </c>
      <c r="G5" s="17" t="s">
        <v>1097</v>
      </c>
      <c r="H5" s="17" t="s">
        <v>1152</v>
      </c>
      <c r="J5" s="54"/>
      <c r="K5" s="58"/>
      <c r="L5" s="37"/>
    </row>
    <row r="6" spans="1:13" s="17" customFormat="1" ht="14.5" customHeight="1">
      <c r="D6" s="16" t="s">
        <v>1149</v>
      </c>
      <c r="E6" s="35" t="s">
        <v>1134</v>
      </c>
      <c r="F6" s="10" t="s">
        <v>740</v>
      </c>
      <c r="G6" s="10" t="s">
        <v>1097</v>
      </c>
      <c r="H6" s="17" t="s">
        <v>1251</v>
      </c>
      <c r="J6" s="54"/>
      <c r="K6" s="58"/>
      <c r="L6" s="37" t="s">
        <v>1250</v>
      </c>
    </row>
    <row r="7" spans="1:13" s="17" customFormat="1" ht="14.5" customHeight="1">
      <c r="B7" s="16"/>
      <c r="C7" s="16"/>
      <c r="D7" s="16" t="s">
        <v>902</v>
      </c>
      <c r="E7" s="35" t="s">
        <v>1210</v>
      </c>
      <c r="F7" s="10" t="s">
        <v>740</v>
      </c>
      <c r="G7" s="16" t="s">
        <v>1095</v>
      </c>
      <c r="H7" s="16"/>
      <c r="I7" s="16"/>
      <c r="J7" s="54"/>
      <c r="K7" s="58"/>
      <c r="L7" s="37"/>
    </row>
    <row r="8" spans="1:13" s="17" customFormat="1" ht="14.5" customHeight="1">
      <c r="B8" s="22"/>
      <c r="C8" s="22"/>
      <c r="D8" s="10" t="s">
        <v>912</v>
      </c>
      <c r="E8" s="35" t="s">
        <v>1198</v>
      </c>
      <c r="F8" s="10" t="s">
        <v>740</v>
      </c>
      <c r="G8" s="10" t="s">
        <v>1098</v>
      </c>
      <c r="H8" s="22"/>
      <c r="I8" s="22"/>
      <c r="J8" s="54"/>
      <c r="K8" s="58"/>
      <c r="L8" s="37"/>
    </row>
    <row r="9" spans="1:13" s="21" customFormat="1" ht="14.5" customHeight="1">
      <c r="E9" s="33"/>
      <c r="F9" s="12"/>
      <c r="J9" s="55"/>
      <c r="K9" s="59"/>
      <c r="L9" s="38"/>
    </row>
    <row r="10" spans="1:13" s="17" customFormat="1" ht="14.5" customHeight="1">
      <c r="D10" s="17" t="s">
        <v>1142</v>
      </c>
      <c r="E10" s="32" t="s">
        <v>1135</v>
      </c>
      <c r="F10" s="10" t="s">
        <v>540</v>
      </c>
      <c r="G10" s="10" t="s">
        <v>1096</v>
      </c>
      <c r="I10" s="17">
        <v>1926</v>
      </c>
      <c r="J10" s="54"/>
      <c r="K10" s="58"/>
      <c r="L10" s="37"/>
    </row>
    <row r="11" spans="1:13" s="17" customFormat="1" ht="14.5" customHeight="1">
      <c r="D11" s="28" t="s">
        <v>1094</v>
      </c>
      <c r="E11" s="35" t="s">
        <v>1135</v>
      </c>
      <c r="F11" s="10" t="s">
        <v>740</v>
      </c>
      <c r="G11" s="16" t="s">
        <v>1096</v>
      </c>
      <c r="H11" s="16" t="s">
        <v>1101</v>
      </c>
      <c r="J11" s="54"/>
      <c r="K11" s="58"/>
      <c r="L11" s="37" t="s">
        <v>1143</v>
      </c>
    </row>
    <row r="12" spans="1:13" s="17" customFormat="1" ht="14.5" customHeight="1">
      <c r="D12" s="10" t="s">
        <v>1151</v>
      </c>
      <c r="E12" s="32" t="s">
        <v>1198</v>
      </c>
      <c r="F12" s="10" t="s">
        <v>740</v>
      </c>
      <c r="G12" s="10" t="s">
        <v>1096</v>
      </c>
      <c r="J12" s="54"/>
      <c r="K12" s="58"/>
      <c r="L12" s="37"/>
    </row>
    <row r="13" spans="1:13" s="17" customFormat="1" ht="14.5" customHeight="1">
      <c r="B13" s="29"/>
      <c r="C13" s="29"/>
      <c r="D13" s="25" t="s">
        <v>1144</v>
      </c>
      <c r="E13" s="32" t="s">
        <v>1134</v>
      </c>
      <c r="F13" s="10" t="s">
        <v>740</v>
      </c>
      <c r="G13" s="25" t="s">
        <v>218</v>
      </c>
      <c r="H13" s="29"/>
      <c r="I13" s="29"/>
      <c r="J13" s="54"/>
      <c r="K13" s="58"/>
      <c r="L13" s="37" t="s">
        <v>1240</v>
      </c>
    </row>
    <row r="14" spans="1:13" s="17" customFormat="1" ht="14.5" customHeight="1">
      <c r="B14" s="29"/>
      <c r="C14" s="29"/>
      <c r="D14" s="17" t="s">
        <v>1145</v>
      </c>
      <c r="E14" s="32" t="s">
        <v>1135</v>
      </c>
      <c r="F14" s="10" t="s">
        <v>740</v>
      </c>
      <c r="G14" s="10" t="s">
        <v>218</v>
      </c>
      <c r="H14" s="29"/>
      <c r="I14" s="29"/>
      <c r="J14" s="54"/>
      <c r="K14" s="58"/>
      <c r="L14" s="37"/>
    </row>
    <row r="15" spans="1:13" s="17" customFormat="1" ht="14.5" customHeight="1">
      <c r="D15" s="17" t="s">
        <v>1120</v>
      </c>
      <c r="E15" s="32" t="s">
        <v>1135</v>
      </c>
      <c r="F15" s="10" t="s">
        <v>740</v>
      </c>
      <c r="G15" s="17" t="s">
        <v>1097</v>
      </c>
      <c r="H15" s="17" t="s">
        <v>1152</v>
      </c>
      <c r="J15" s="54"/>
      <c r="K15" s="58"/>
      <c r="L15" s="37" t="s">
        <v>1252</v>
      </c>
    </row>
    <row r="16" spans="1:13" s="17" customFormat="1" ht="14.5" customHeight="1">
      <c r="D16" s="10" t="s">
        <v>1148</v>
      </c>
      <c r="E16" s="35" t="s">
        <v>1134</v>
      </c>
      <c r="F16" s="10" t="s">
        <v>740</v>
      </c>
      <c r="G16" s="10" t="s">
        <v>1097</v>
      </c>
      <c r="J16" s="54"/>
      <c r="K16" s="58"/>
      <c r="L16" s="37" t="s">
        <v>1250</v>
      </c>
    </row>
    <row r="17" spans="1:13" s="17" customFormat="1" ht="14.5" customHeight="1">
      <c r="B17" s="28"/>
      <c r="C17" s="28"/>
      <c r="D17" s="10" t="s">
        <v>1147</v>
      </c>
      <c r="E17" s="32" t="s">
        <v>38</v>
      </c>
      <c r="F17" s="10" t="s">
        <v>740</v>
      </c>
      <c r="G17" s="10" t="s">
        <v>1095</v>
      </c>
      <c r="H17" s="16"/>
      <c r="I17" s="28"/>
      <c r="J17" s="54"/>
      <c r="K17" s="58"/>
      <c r="L17" s="37"/>
    </row>
    <row r="18" spans="1:13" s="17" customFormat="1" ht="14.5" customHeight="1">
      <c r="B18" s="28"/>
      <c r="C18" s="28"/>
      <c r="D18" s="28" t="s">
        <v>1146</v>
      </c>
      <c r="E18" s="35" t="s">
        <v>1210</v>
      </c>
      <c r="F18" s="10" t="s">
        <v>740</v>
      </c>
      <c r="G18" s="16" t="s">
        <v>1095</v>
      </c>
      <c r="H18" s="16" t="s">
        <v>1099</v>
      </c>
      <c r="I18" s="28"/>
      <c r="J18" s="54"/>
      <c r="K18" s="58"/>
      <c r="L18" s="37" t="s">
        <v>1218</v>
      </c>
    </row>
    <row r="19" spans="1:13" ht="14.5" customHeight="1">
      <c r="D19" s="10" t="s">
        <v>1212</v>
      </c>
      <c r="E19" s="35" t="s">
        <v>1135</v>
      </c>
      <c r="F19" s="10" t="s">
        <v>740</v>
      </c>
      <c r="G19" s="10" t="s">
        <v>1211</v>
      </c>
      <c r="H19" s="10"/>
    </row>
    <row r="20" spans="1:13" s="17" customFormat="1" ht="14.5" customHeight="1">
      <c r="D20" s="10" t="s">
        <v>1213</v>
      </c>
      <c r="E20" s="35" t="s">
        <v>1135</v>
      </c>
      <c r="F20" s="10" t="s">
        <v>740</v>
      </c>
      <c r="G20" s="10" t="s">
        <v>1211</v>
      </c>
      <c r="J20" s="54"/>
      <c r="K20" s="58"/>
      <c r="L20" s="37"/>
    </row>
    <row r="21" spans="1:13" s="21" customFormat="1" ht="14.5" customHeight="1">
      <c r="E21" s="33"/>
      <c r="F21" s="12"/>
      <c r="J21" s="55"/>
      <c r="K21" s="59"/>
      <c r="L21" s="38"/>
    </row>
    <row r="22" spans="1:13" s="17" customFormat="1" ht="14.5" customHeight="1">
      <c r="D22" s="17" t="s">
        <v>543</v>
      </c>
      <c r="E22" s="32" t="s">
        <v>1135</v>
      </c>
      <c r="F22" s="17" t="s">
        <v>539</v>
      </c>
      <c r="G22" s="17" t="s">
        <v>218</v>
      </c>
      <c r="I22" s="17" t="s">
        <v>542</v>
      </c>
      <c r="J22" s="54"/>
      <c r="K22" s="58"/>
      <c r="L22" s="37"/>
    </row>
    <row r="23" spans="1:13" s="13" customFormat="1" ht="14.5" customHeight="1">
      <c r="E23" s="33" t="s">
        <v>105</v>
      </c>
      <c r="F23" s="12"/>
      <c r="G23" s="12"/>
      <c r="H23" s="12"/>
      <c r="J23" s="53"/>
      <c r="K23" s="57"/>
      <c r="L23" s="38"/>
    </row>
    <row r="24" spans="1:13" ht="14.5" customHeight="1">
      <c r="B24" s="10"/>
      <c r="C24" s="10"/>
      <c r="D24" s="10" t="s">
        <v>546</v>
      </c>
      <c r="E24" s="35" t="s">
        <v>1210</v>
      </c>
      <c r="F24" s="10" t="s">
        <v>544</v>
      </c>
      <c r="G24" s="10" t="s">
        <v>218</v>
      </c>
      <c r="H24" s="10"/>
      <c r="I24" s="10" t="s">
        <v>545</v>
      </c>
      <c r="L24" s="37" t="s">
        <v>1242</v>
      </c>
    </row>
    <row r="25" spans="1:13" ht="14.5" customHeight="1">
      <c r="B25" s="10"/>
      <c r="C25" s="10"/>
      <c r="D25" s="10" t="s">
        <v>547</v>
      </c>
      <c r="E25" s="32" t="s">
        <v>38</v>
      </c>
      <c r="F25" s="10" t="s">
        <v>740</v>
      </c>
      <c r="G25" s="10" t="s">
        <v>1096</v>
      </c>
      <c r="H25" s="10"/>
      <c r="I25" s="10"/>
      <c r="M25" s="10" t="s">
        <v>591</v>
      </c>
    </row>
    <row r="26" spans="1:13" ht="14.5" customHeight="1">
      <c r="D26" s="10" t="s">
        <v>907</v>
      </c>
      <c r="E26" s="35" t="s">
        <v>1210</v>
      </c>
      <c r="F26" s="10" t="s">
        <v>740</v>
      </c>
      <c r="G26" s="10" t="s">
        <v>1095</v>
      </c>
      <c r="H26" s="10"/>
      <c r="I26" s="10"/>
      <c r="M26" s="10"/>
    </row>
    <row r="27" spans="1:13" ht="14.5" customHeight="1">
      <c r="B27" s="10"/>
      <c r="C27" s="10"/>
      <c r="D27" s="10" t="s">
        <v>913</v>
      </c>
      <c r="E27" s="32" t="s">
        <v>1198</v>
      </c>
      <c r="F27" s="10" t="s">
        <v>740</v>
      </c>
      <c r="G27" s="10" t="s">
        <v>1098</v>
      </c>
      <c r="H27" s="10"/>
      <c r="I27" s="10"/>
      <c r="M27" s="10"/>
    </row>
    <row r="28" spans="1:13" ht="14.5" customHeight="1">
      <c r="B28" s="10"/>
      <c r="C28" s="10"/>
      <c r="D28" s="10" t="s">
        <v>1206</v>
      </c>
      <c r="E28" s="35" t="s">
        <v>1135</v>
      </c>
      <c r="F28" s="10" t="s">
        <v>740</v>
      </c>
      <c r="G28" s="10" t="s">
        <v>1204</v>
      </c>
      <c r="H28" s="10"/>
      <c r="I28" s="10"/>
      <c r="L28" s="37" t="s">
        <v>1268</v>
      </c>
      <c r="M28" s="10" t="s">
        <v>1205</v>
      </c>
    </row>
    <row r="29" spans="1:13" ht="14.5" customHeight="1">
      <c r="B29" s="10"/>
      <c r="C29" s="10"/>
      <c r="D29" s="10" t="s">
        <v>1208</v>
      </c>
      <c r="E29" s="35" t="s">
        <v>1135</v>
      </c>
      <c r="F29" s="10" t="s">
        <v>740</v>
      </c>
      <c r="G29" s="10" t="s">
        <v>1204</v>
      </c>
      <c r="H29" s="10"/>
      <c r="I29" s="10"/>
      <c r="L29" s="37" t="s">
        <v>1268</v>
      </c>
      <c r="M29" s="10" t="s">
        <v>1207</v>
      </c>
    </row>
    <row r="30" spans="1:13" ht="14.5" customHeight="1">
      <c r="B30" s="10"/>
      <c r="C30" s="10"/>
      <c r="D30" s="10" t="s">
        <v>1209</v>
      </c>
      <c r="E30" s="35" t="s">
        <v>1135</v>
      </c>
      <c r="F30" s="10" t="s">
        <v>740</v>
      </c>
      <c r="G30" s="10" t="s">
        <v>1204</v>
      </c>
      <c r="H30" s="10"/>
      <c r="I30" s="10"/>
      <c r="L30" s="37" t="s">
        <v>1220</v>
      </c>
      <c r="M30" s="10" t="s">
        <v>1062</v>
      </c>
    </row>
    <row r="31" spans="1:13" s="13" customFormat="1" ht="14.5" customHeight="1">
      <c r="B31" s="12"/>
      <c r="C31" s="12"/>
      <c r="D31" s="12"/>
      <c r="E31" s="33"/>
      <c r="G31" s="12"/>
      <c r="H31" s="12"/>
      <c r="I31" s="12"/>
      <c r="J31" s="53"/>
      <c r="K31" s="57"/>
      <c r="L31" s="38"/>
    </row>
    <row r="32" spans="1:13" s="14" customFormat="1" ht="14.5" customHeight="1">
      <c r="A32" s="11"/>
      <c r="B32" s="11"/>
      <c r="C32" s="11"/>
      <c r="D32" s="10" t="s">
        <v>1076</v>
      </c>
      <c r="E32" s="32"/>
      <c r="F32" s="10" t="s">
        <v>1075</v>
      </c>
      <c r="G32" s="11"/>
      <c r="H32" s="11"/>
      <c r="I32" s="10" t="s">
        <v>1071</v>
      </c>
      <c r="J32" s="19"/>
      <c r="K32" s="56"/>
      <c r="L32" s="37"/>
      <c r="M32" s="11"/>
    </row>
    <row r="33" spans="1:13" s="14" customFormat="1" ht="14.5" customHeight="1">
      <c r="A33" s="11"/>
      <c r="B33" s="11"/>
      <c r="C33" s="11"/>
      <c r="D33" s="10" t="s">
        <v>1137</v>
      </c>
      <c r="E33" s="35" t="s">
        <v>1135</v>
      </c>
      <c r="F33" s="10" t="s">
        <v>1136</v>
      </c>
      <c r="G33" s="11"/>
      <c r="H33" s="11"/>
      <c r="I33" s="10" t="s">
        <v>1071</v>
      </c>
      <c r="J33" s="19"/>
      <c r="K33" s="56"/>
      <c r="L33" s="37" t="s">
        <v>1221</v>
      </c>
      <c r="M33" s="11"/>
    </row>
    <row r="34" spans="1:13" s="14" customFormat="1" ht="14.5" customHeight="1">
      <c r="A34" s="11"/>
      <c r="B34" s="11"/>
      <c r="C34" s="11"/>
      <c r="D34" s="10" t="s">
        <v>1083</v>
      </c>
      <c r="E34" s="32"/>
      <c r="F34" s="10" t="s">
        <v>1197</v>
      </c>
      <c r="G34" s="11"/>
      <c r="H34" s="11"/>
      <c r="I34" s="10"/>
      <c r="J34" s="19"/>
      <c r="K34" s="56"/>
      <c r="L34" s="37"/>
      <c r="M34" s="11"/>
    </row>
    <row r="35" spans="1:13" s="14" customFormat="1" ht="14.5" customHeight="1">
      <c r="A35" s="11"/>
      <c r="B35" s="11"/>
      <c r="C35" s="11"/>
      <c r="D35" s="10" t="s">
        <v>1085</v>
      </c>
      <c r="E35" s="32"/>
      <c r="F35" s="10" t="s">
        <v>1084</v>
      </c>
      <c r="G35" s="11"/>
      <c r="H35" s="11"/>
      <c r="I35" s="10"/>
      <c r="J35" s="19"/>
      <c r="K35" s="56"/>
      <c r="L35" s="37"/>
      <c r="M35" s="11"/>
    </row>
    <row r="36" spans="1:13" ht="14.5" customHeight="1">
      <c r="A36" s="14"/>
      <c r="B36" s="14"/>
      <c r="C36" s="14"/>
      <c r="D36" s="14" t="s">
        <v>1088</v>
      </c>
      <c r="E36" s="34"/>
      <c r="F36" s="15" t="s">
        <v>1087</v>
      </c>
      <c r="G36" s="14"/>
      <c r="H36" s="14"/>
      <c r="I36" s="14" t="s">
        <v>684</v>
      </c>
      <c r="J36" s="44"/>
      <c r="K36" s="49"/>
      <c r="L36" s="39"/>
      <c r="M36" s="14"/>
    </row>
    <row r="37" spans="1:13" ht="14.5" customHeight="1">
      <c r="D37" s="14" t="s">
        <v>1089</v>
      </c>
      <c r="E37" s="34"/>
      <c r="F37" s="14" t="s">
        <v>1128</v>
      </c>
      <c r="G37" s="14" t="s">
        <v>1090</v>
      </c>
      <c r="H37" s="14"/>
      <c r="I37" s="14"/>
    </row>
    <row r="38" spans="1:13" ht="14.5" customHeight="1">
      <c r="A38" s="14"/>
      <c r="B38" s="14"/>
      <c r="C38" s="14"/>
      <c r="D38" s="14" t="s">
        <v>12</v>
      </c>
      <c r="E38" s="34"/>
      <c r="F38" s="14" t="s">
        <v>1127</v>
      </c>
      <c r="G38" s="14" t="s">
        <v>1091</v>
      </c>
      <c r="H38" s="14"/>
      <c r="I38" s="14"/>
      <c r="J38" s="44"/>
      <c r="K38" s="49"/>
      <c r="L38" s="39"/>
      <c r="M38" s="14"/>
    </row>
    <row r="39" spans="1:13" ht="14.5" customHeight="1">
      <c r="A39" s="14"/>
      <c r="B39" s="14"/>
      <c r="C39" s="14"/>
      <c r="D39" s="14" t="s">
        <v>1130</v>
      </c>
      <c r="E39" s="34"/>
      <c r="F39" s="15" t="s">
        <v>1129</v>
      </c>
      <c r="G39" s="14"/>
      <c r="H39" s="14"/>
      <c r="I39" s="14" t="s">
        <v>1131</v>
      </c>
      <c r="J39" s="44"/>
      <c r="K39" s="49"/>
      <c r="L39" s="39"/>
      <c r="M39" s="14"/>
    </row>
    <row r="40" spans="1:13" ht="14.5" customHeight="1">
      <c r="A40" s="14"/>
      <c r="B40" s="14"/>
      <c r="C40" s="14"/>
      <c r="D40" s="11" t="s">
        <v>1069</v>
      </c>
      <c r="E40" s="35" t="s">
        <v>1263</v>
      </c>
      <c r="F40" s="11" t="s">
        <v>1132</v>
      </c>
      <c r="I40" s="11" t="s">
        <v>1071</v>
      </c>
      <c r="J40" s="46" t="s">
        <v>1267</v>
      </c>
      <c r="K40" s="60"/>
      <c r="L40" s="46"/>
      <c r="M40" s="14"/>
    </row>
    <row r="41" spans="1:13" ht="14.5" customHeight="1">
      <c r="A41" s="14"/>
      <c r="B41" s="14"/>
      <c r="C41" s="14"/>
      <c r="D41" s="11" t="s">
        <v>1203</v>
      </c>
      <c r="E41" s="32" t="s">
        <v>1198</v>
      </c>
      <c r="F41" s="10" t="s">
        <v>903</v>
      </c>
      <c r="G41" s="11" t="s">
        <v>1204</v>
      </c>
      <c r="J41" s="44"/>
      <c r="K41" s="49"/>
      <c r="L41" s="39"/>
      <c r="M41" s="14"/>
    </row>
    <row r="42" spans="1:13" ht="14.5" customHeight="1">
      <c r="D42" s="10" t="s">
        <v>904</v>
      </c>
      <c r="E42" s="35" t="s">
        <v>1135</v>
      </c>
      <c r="F42" s="11" t="s">
        <v>740</v>
      </c>
      <c r="G42" s="10" t="s">
        <v>218</v>
      </c>
      <c r="L42" s="37" t="s">
        <v>1220</v>
      </c>
    </row>
    <row r="43" spans="1:13" ht="14.5" customHeight="1">
      <c r="D43" s="10" t="s">
        <v>905</v>
      </c>
      <c r="E43" s="32" t="s">
        <v>38</v>
      </c>
      <c r="F43" s="11" t="s">
        <v>740</v>
      </c>
      <c r="G43" s="10" t="s">
        <v>1096</v>
      </c>
    </row>
    <row r="44" spans="1:13" ht="14.5" customHeight="1">
      <c r="D44" s="10" t="s">
        <v>906</v>
      </c>
      <c r="E44" s="35" t="s">
        <v>1135</v>
      </c>
      <c r="F44" s="11" t="s">
        <v>740</v>
      </c>
      <c r="G44" s="10" t="s">
        <v>1095</v>
      </c>
    </row>
    <row r="45" spans="1:13" ht="14.5" customHeight="1">
      <c r="D45" s="11" t="s">
        <v>1070</v>
      </c>
      <c r="F45" s="11" t="s">
        <v>1125</v>
      </c>
      <c r="I45" s="11" t="s">
        <v>545</v>
      </c>
    </row>
    <row r="46" spans="1:13" ht="14.5" customHeight="1">
      <c r="D46" s="11" t="s">
        <v>1073</v>
      </c>
      <c r="E46" s="35" t="s">
        <v>1135</v>
      </c>
      <c r="F46" s="10" t="s">
        <v>1072</v>
      </c>
      <c r="L46" s="37" t="s">
        <v>1222</v>
      </c>
    </row>
    <row r="47" spans="1:13" ht="14.5" customHeight="1">
      <c r="D47" s="11" t="s">
        <v>1074</v>
      </c>
      <c r="E47" s="35" t="s">
        <v>1135</v>
      </c>
      <c r="F47" s="11" t="s">
        <v>1126</v>
      </c>
      <c r="I47" s="11" t="s">
        <v>542</v>
      </c>
      <c r="L47" s="37" t="s">
        <v>1221</v>
      </c>
    </row>
    <row r="48" spans="1:13" ht="14.5" customHeight="1">
      <c r="D48" s="10" t="s">
        <v>911</v>
      </c>
      <c r="E48" s="32" t="s">
        <v>38</v>
      </c>
      <c r="F48" s="10" t="s">
        <v>914</v>
      </c>
      <c r="G48" s="10" t="s">
        <v>1098</v>
      </c>
      <c r="H48" s="10"/>
      <c r="I48" s="10"/>
    </row>
    <row r="49" spans="1:13" ht="14.5" customHeight="1">
      <c r="B49" s="10"/>
      <c r="C49" s="10"/>
      <c r="D49" s="10" t="s">
        <v>909</v>
      </c>
      <c r="F49" s="11" t="s">
        <v>740</v>
      </c>
      <c r="G49" s="10" t="s">
        <v>1097</v>
      </c>
    </row>
    <row r="50" spans="1:13" ht="14.5" customHeight="1">
      <c r="D50" s="10" t="s">
        <v>910</v>
      </c>
      <c r="F50" s="11" t="s">
        <v>740</v>
      </c>
      <c r="G50" s="10" t="s">
        <v>218</v>
      </c>
    </row>
    <row r="51" spans="1:13" s="14" customFormat="1" ht="14.5" customHeight="1">
      <c r="D51" s="14" t="s">
        <v>1093</v>
      </c>
      <c r="E51" s="34" t="s">
        <v>38</v>
      </c>
      <c r="F51" s="14" t="s">
        <v>1092</v>
      </c>
      <c r="I51" s="14" t="s">
        <v>684</v>
      </c>
      <c r="J51" s="44"/>
      <c r="K51" s="49"/>
      <c r="L51" s="39"/>
    </row>
    <row r="52" spans="1:13" s="14" customFormat="1" ht="14.5" customHeight="1">
      <c r="D52" s="14" t="s">
        <v>1201</v>
      </c>
      <c r="E52" s="36" t="s">
        <v>1135</v>
      </c>
      <c r="F52" s="14" t="s">
        <v>1200</v>
      </c>
      <c r="G52" s="14" t="s">
        <v>1091</v>
      </c>
      <c r="I52" s="15" t="s">
        <v>560</v>
      </c>
      <c r="J52" s="44"/>
      <c r="K52" s="49"/>
      <c r="L52" s="39" t="s">
        <v>1220</v>
      </c>
      <c r="M52" s="15" t="s">
        <v>1202</v>
      </c>
    </row>
    <row r="53" spans="1:13" s="14" customFormat="1" ht="14.5" customHeight="1">
      <c r="E53" s="36"/>
      <c r="I53" s="15"/>
      <c r="J53" s="44"/>
      <c r="K53" s="49"/>
      <c r="L53" s="39"/>
      <c r="M53" s="15"/>
    </row>
    <row r="54" spans="1:13" s="14" customFormat="1" ht="14.5" customHeight="1">
      <c r="D54" s="30" t="s">
        <v>1285</v>
      </c>
      <c r="E54" s="36" t="s">
        <v>1135</v>
      </c>
      <c r="F54" s="30" t="s">
        <v>1286</v>
      </c>
      <c r="I54" s="15" t="s">
        <v>613</v>
      </c>
      <c r="J54" s="44"/>
      <c r="K54" s="49"/>
      <c r="L54" s="39" t="s">
        <v>1278</v>
      </c>
      <c r="M54" s="15" t="s">
        <v>1287</v>
      </c>
    </row>
    <row r="55" spans="1:13" s="15" customFormat="1" ht="14.5" customHeight="1">
      <c r="D55" s="15" t="s">
        <v>1296</v>
      </c>
      <c r="E55" s="34" t="s">
        <v>1135</v>
      </c>
      <c r="F55" s="15" t="s">
        <v>1297</v>
      </c>
      <c r="J55" s="44"/>
      <c r="K55" s="49"/>
      <c r="L55" s="39" t="s">
        <v>1298</v>
      </c>
    </row>
    <row r="56" spans="1:13" s="15" customFormat="1" ht="14.5" customHeight="1">
      <c r="D56" s="15" t="s">
        <v>1299</v>
      </c>
      <c r="E56" s="34" t="s">
        <v>1135</v>
      </c>
      <c r="F56" s="15" t="s">
        <v>740</v>
      </c>
      <c r="J56" s="44"/>
      <c r="K56" s="49"/>
      <c r="L56" s="39" t="s">
        <v>1278</v>
      </c>
    </row>
    <row r="57" spans="1:13" s="15" customFormat="1" ht="14.5" customHeight="1">
      <c r="D57" s="15" t="s">
        <v>1300</v>
      </c>
      <c r="E57" s="34" t="s">
        <v>1135</v>
      </c>
      <c r="F57" s="15" t="s">
        <v>1301</v>
      </c>
      <c r="J57" s="44"/>
      <c r="K57" s="49"/>
      <c r="L57" s="39" t="s">
        <v>1302</v>
      </c>
    </row>
    <row r="58" spans="1:13" s="15" customFormat="1" ht="14.5" customHeight="1">
      <c r="E58" s="34" t="s">
        <v>1135</v>
      </c>
      <c r="F58" s="15" t="s">
        <v>740</v>
      </c>
      <c r="J58" s="44"/>
      <c r="K58" s="49"/>
      <c r="L58" s="39" t="s">
        <v>1303</v>
      </c>
    </row>
    <row r="59" spans="1:13" s="15" customFormat="1" ht="14.5" customHeight="1">
      <c r="E59" s="34"/>
      <c r="J59" s="44"/>
      <c r="K59" s="49"/>
      <c r="L59" s="39"/>
    </row>
    <row r="60" spans="1:13" s="13" customFormat="1" ht="14.5" customHeight="1">
      <c r="A60" s="12" t="s">
        <v>537</v>
      </c>
      <c r="B60" s="12" t="s">
        <v>611</v>
      </c>
      <c r="C60" s="12" t="s">
        <v>605</v>
      </c>
      <c r="E60" s="33"/>
      <c r="J60" s="53"/>
      <c r="K60" s="57"/>
      <c r="L60" s="38"/>
    </row>
    <row r="61" spans="1:13" ht="14.5" customHeight="1">
      <c r="D61" s="10" t="s">
        <v>1080</v>
      </c>
      <c r="F61" s="10" t="s">
        <v>1077</v>
      </c>
      <c r="G61" s="10" t="s">
        <v>1078</v>
      </c>
      <c r="I61" s="10" t="s">
        <v>1079</v>
      </c>
    </row>
    <row r="62" spans="1:13" ht="14.5" customHeight="1">
      <c r="D62" s="10" t="s">
        <v>1081</v>
      </c>
      <c r="E62" s="32" t="s">
        <v>1198</v>
      </c>
      <c r="G62" s="10" t="s">
        <v>1082</v>
      </c>
      <c r="L62" s="37" t="s">
        <v>1199</v>
      </c>
    </row>
    <row r="63" spans="1:13" s="13" customFormat="1" ht="14.5" customHeight="1">
      <c r="A63" s="12" t="s">
        <v>537</v>
      </c>
      <c r="B63" s="12" t="s">
        <v>572</v>
      </c>
      <c r="C63" s="12" t="s">
        <v>605</v>
      </c>
      <c r="E63" s="33"/>
      <c r="J63" s="53"/>
      <c r="K63" s="57"/>
      <c r="L63" s="38"/>
    </row>
    <row r="64" spans="1:13" ht="14.5" customHeight="1">
      <c r="D64" s="10" t="s">
        <v>1115</v>
      </c>
      <c r="F64" s="10" t="s">
        <v>1114</v>
      </c>
      <c r="M64" s="10" t="s">
        <v>1116</v>
      </c>
    </row>
    <row r="65" spans="1:13" ht="14.5" customHeight="1">
      <c r="D65" s="10" t="s">
        <v>1118</v>
      </c>
      <c r="F65" s="10" t="s">
        <v>1117</v>
      </c>
      <c r="M65" s="10" t="s">
        <v>710</v>
      </c>
    </row>
    <row r="66" spans="1:13" ht="14.5" customHeight="1">
      <c r="F66" s="10" t="s">
        <v>1119</v>
      </c>
    </row>
    <row r="78" spans="1:13" s="13" customFormat="1" ht="14.5" customHeight="1">
      <c r="A78" s="12" t="s">
        <v>548</v>
      </c>
      <c r="B78" s="12"/>
      <c r="C78" s="12"/>
      <c r="E78" s="33"/>
      <c r="J78" s="53"/>
      <c r="K78" s="57"/>
      <c r="L78" s="38"/>
    </row>
    <row r="79" spans="1:13" s="14" customFormat="1" ht="14.5" customHeight="1">
      <c r="A79" s="15"/>
      <c r="B79" s="50" t="s">
        <v>1239</v>
      </c>
      <c r="C79" s="51"/>
      <c r="D79" s="51"/>
      <c r="E79" s="51"/>
      <c r="F79" s="51"/>
      <c r="J79" s="44"/>
      <c r="K79" s="49"/>
      <c r="L79" s="39"/>
    </row>
    <row r="80" spans="1:13" s="14" customFormat="1" ht="14.5" customHeight="1">
      <c r="A80" s="15"/>
      <c r="B80" s="15" t="s">
        <v>697</v>
      </c>
      <c r="C80" s="15" t="s">
        <v>698</v>
      </c>
      <c r="D80" s="14" t="s">
        <v>784</v>
      </c>
      <c r="E80" s="36"/>
      <c r="F80" s="15" t="s">
        <v>1256</v>
      </c>
      <c r="I80" s="14" t="s">
        <v>1233</v>
      </c>
      <c r="J80" s="44"/>
      <c r="K80" s="49"/>
      <c r="L80" s="39"/>
    </row>
    <row r="81" spans="1:13" s="14" customFormat="1" ht="14.5" customHeight="1">
      <c r="A81" s="15"/>
      <c r="B81" s="15" t="s">
        <v>697</v>
      </c>
      <c r="C81" s="15" t="s">
        <v>698</v>
      </c>
      <c r="D81" s="14" t="s">
        <v>1227</v>
      </c>
      <c r="E81" s="36" t="s">
        <v>1133</v>
      </c>
      <c r="F81" s="15" t="s">
        <v>1256</v>
      </c>
      <c r="I81" s="14" t="s">
        <v>1232</v>
      </c>
      <c r="J81" s="44"/>
      <c r="K81" s="49"/>
      <c r="L81" s="39"/>
    </row>
    <row r="82" spans="1:13" s="14" customFormat="1" ht="14.5" customHeight="1">
      <c r="A82" s="15"/>
      <c r="B82" s="15" t="s">
        <v>697</v>
      </c>
      <c r="C82" s="15" t="s">
        <v>698</v>
      </c>
      <c r="D82" s="14" t="s">
        <v>1228</v>
      </c>
      <c r="E82" s="36" t="s">
        <v>1133</v>
      </c>
      <c r="F82" s="15" t="s">
        <v>1256</v>
      </c>
      <c r="I82" s="14" t="s">
        <v>1231</v>
      </c>
      <c r="J82" s="44"/>
      <c r="K82" s="49"/>
      <c r="L82" s="39"/>
    </row>
    <row r="83" spans="1:13" s="14" customFormat="1" ht="14.5" customHeight="1">
      <c r="A83" s="15"/>
      <c r="B83" s="15" t="s">
        <v>697</v>
      </c>
      <c r="C83" s="15" t="s">
        <v>698</v>
      </c>
      <c r="D83" s="14" t="s">
        <v>1229</v>
      </c>
      <c r="E83" s="36" t="s">
        <v>1134</v>
      </c>
      <c r="F83" s="15" t="s">
        <v>1256</v>
      </c>
      <c r="I83" s="14" t="s">
        <v>1230</v>
      </c>
      <c r="J83" s="44"/>
      <c r="K83" s="49"/>
      <c r="L83" s="39" t="s">
        <v>1284</v>
      </c>
    </row>
    <row r="84" spans="1:13" s="14" customFormat="1" ht="14.5" customHeight="1">
      <c r="A84" s="15"/>
      <c r="B84" s="15" t="s">
        <v>697</v>
      </c>
      <c r="C84" s="15" t="s">
        <v>698</v>
      </c>
      <c r="D84" s="14" t="s">
        <v>699</v>
      </c>
      <c r="E84" s="36" t="s">
        <v>1134</v>
      </c>
      <c r="F84" s="15" t="s">
        <v>1256</v>
      </c>
      <c r="I84" s="14" t="s">
        <v>695</v>
      </c>
      <c r="J84" s="44"/>
      <c r="K84" s="49"/>
      <c r="L84" s="39" t="s">
        <v>1265</v>
      </c>
    </row>
    <row r="85" spans="1:13" s="14" customFormat="1" ht="14.5" customHeight="1">
      <c r="A85" s="15"/>
      <c r="B85" s="15" t="s">
        <v>697</v>
      </c>
      <c r="C85" s="15" t="s">
        <v>698</v>
      </c>
      <c r="D85" s="14" t="s">
        <v>700</v>
      </c>
      <c r="E85" s="36" t="s">
        <v>1263</v>
      </c>
      <c r="F85" s="15" t="s">
        <v>1256</v>
      </c>
      <c r="I85" s="14" t="s">
        <v>696</v>
      </c>
      <c r="J85" s="46" t="s">
        <v>1264</v>
      </c>
      <c r="K85" s="60"/>
    </row>
    <row r="86" spans="1:13" s="14" customFormat="1" ht="14.5" customHeight="1">
      <c r="A86" s="15"/>
      <c r="B86" s="15"/>
      <c r="C86" s="15"/>
      <c r="E86" s="36"/>
      <c r="J86" s="44"/>
      <c r="K86" s="49"/>
      <c r="L86" s="39"/>
    </row>
    <row r="87" spans="1:13" s="14" customFormat="1" ht="14.5" customHeight="1">
      <c r="A87" s="15"/>
      <c r="B87" s="50" t="s">
        <v>1254</v>
      </c>
      <c r="C87" s="50"/>
      <c r="D87" s="50"/>
      <c r="E87" s="50"/>
      <c r="F87" s="50"/>
      <c r="J87" s="44"/>
      <c r="K87" s="49"/>
      <c r="L87" s="39"/>
    </row>
    <row r="88" spans="1:13" s="14" customFormat="1" ht="14.5" customHeight="1">
      <c r="A88" s="15"/>
      <c r="B88" s="15" t="s">
        <v>697</v>
      </c>
      <c r="C88" s="15" t="s">
        <v>698</v>
      </c>
      <c r="D88" s="14" t="s">
        <v>1224</v>
      </c>
      <c r="E88" s="36"/>
      <c r="F88" s="15" t="s">
        <v>1255</v>
      </c>
      <c r="I88" s="14" t="s">
        <v>695</v>
      </c>
      <c r="J88" s="44"/>
      <c r="K88" s="49"/>
      <c r="L88" s="39"/>
      <c r="M88" s="14" t="s">
        <v>1226</v>
      </c>
    </row>
    <row r="89" spans="1:13" s="14" customFormat="1" ht="14.5" customHeight="1">
      <c r="A89" s="15"/>
      <c r="B89" s="15" t="s">
        <v>697</v>
      </c>
      <c r="C89" s="15" t="s">
        <v>698</v>
      </c>
      <c r="D89" s="14" t="s">
        <v>1225</v>
      </c>
      <c r="E89" s="36"/>
      <c r="F89" s="15" t="s">
        <v>1255</v>
      </c>
      <c r="I89" s="14" t="s">
        <v>696</v>
      </c>
      <c r="J89" s="44"/>
      <c r="K89" s="49"/>
      <c r="L89" s="39"/>
      <c r="M89" s="14" t="s">
        <v>743</v>
      </c>
    </row>
    <row r="90" spans="1:13" s="14" customFormat="1" ht="14.5" customHeight="1">
      <c r="A90" s="15"/>
      <c r="B90" s="15"/>
      <c r="C90" s="15"/>
      <c r="E90" s="36"/>
      <c r="J90" s="44"/>
      <c r="K90" s="49"/>
      <c r="L90" s="39"/>
    </row>
    <row r="91" spans="1:13" s="14" customFormat="1" ht="14.5" customHeight="1">
      <c r="A91" s="15"/>
      <c r="B91" s="50" t="s">
        <v>1238</v>
      </c>
      <c r="C91" s="50"/>
      <c r="D91" s="50"/>
      <c r="E91" s="50"/>
      <c r="F91" s="50"/>
      <c r="J91" s="44"/>
      <c r="K91" s="49"/>
      <c r="L91" s="39"/>
    </row>
    <row r="92" spans="1:13" s="14" customFormat="1" ht="14.5" customHeight="1">
      <c r="A92" s="15"/>
      <c r="B92" s="15" t="s">
        <v>703</v>
      </c>
      <c r="C92" s="15" t="s">
        <v>553</v>
      </c>
      <c r="D92" s="14" t="s">
        <v>1304</v>
      </c>
      <c r="E92" s="36" t="s">
        <v>1133</v>
      </c>
      <c r="F92" s="15" t="s">
        <v>1306</v>
      </c>
      <c r="I92" s="15" t="s">
        <v>351</v>
      </c>
      <c r="J92" s="44"/>
      <c r="K92" s="49"/>
      <c r="L92" s="39" t="s">
        <v>1307</v>
      </c>
    </row>
    <row r="93" spans="1:13" s="14" customFormat="1" ht="14.5" customHeight="1">
      <c r="A93" s="15"/>
      <c r="B93" s="15" t="s">
        <v>703</v>
      </c>
      <c r="C93" s="15" t="s">
        <v>553</v>
      </c>
      <c r="D93" s="14" t="s">
        <v>1305</v>
      </c>
      <c r="E93" s="36" t="s">
        <v>1133</v>
      </c>
      <c r="F93" s="15" t="s">
        <v>1237</v>
      </c>
      <c r="I93" s="15" t="s">
        <v>1231</v>
      </c>
      <c r="J93" s="44"/>
      <c r="K93" s="49"/>
      <c r="L93" s="39"/>
    </row>
    <row r="94" spans="1:13" s="14" customFormat="1" ht="14.5" customHeight="1">
      <c r="A94" s="15"/>
      <c r="B94" s="15" t="s">
        <v>703</v>
      </c>
      <c r="C94" s="15" t="s">
        <v>638</v>
      </c>
      <c r="D94" s="14" t="s">
        <v>604</v>
      </c>
      <c r="E94" s="36" t="s">
        <v>1134</v>
      </c>
      <c r="F94" s="15" t="s">
        <v>1237</v>
      </c>
      <c r="I94" s="15" t="s">
        <v>1236</v>
      </c>
      <c r="J94" s="44"/>
      <c r="K94" s="49"/>
      <c r="L94" s="39" t="s">
        <v>1283</v>
      </c>
    </row>
    <row r="95" spans="1:13" s="14" customFormat="1" ht="14.5" customHeight="1">
      <c r="A95" s="15"/>
      <c r="B95" s="15" t="s">
        <v>703</v>
      </c>
      <c r="C95" s="15" t="s">
        <v>638</v>
      </c>
      <c r="D95" s="14" t="s">
        <v>1234</v>
      </c>
      <c r="E95" s="36" t="s">
        <v>1263</v>
      </c>
      <c r="F95" s="15" t="s">
        <v>1237</v>
      </c>
      <c r="I95" s="15" t="s">
        <v>1235</v>
      </c>
      <c r="J95" s="46" t="s">
        <v>1277</v>
      </c>
      <c r="K95" s="60"/>
    </row>
    <row r="96" spans="1:13" s="14" customFormat="1" ht="14.5" customHeight="1">
      <c r="A96" s="15"/>
      <c r="B96" s="15" t="s">
        <v>703</v>
      </c>
      <c r="C96" s="15" t="s">
        <v>638</v>
      </c>
      <c r="D96" s="14" t="s">
        <v>652</v>
      </c>
      <c r="E96" s="36" t="s">
        <v>1135</v>
      </c>
      <c r="F96" s="15" t="s">
        <v>1237</v>
      </c>
      <c r="I96" s="14" t="s">
        <v>701</v>
      </c>
      <c r="J96" s="44"/>
      <c r="K96" s="49"/>
      <c r="L96" s="39" t="s">
        <v>1253</v>
      </c>
    </row>
    <row r="97" spans="1:13" s="14" customFormat="1" ht="14.5" customHeight="1">
      <c r="A97" s="15"/>
      <c r="B97" s="15" t="s">
        <v>703</v>
      </c>
      <c r="C97" s="15" t="s">
        <v>638</v>
      </c>
      <c r="D97" s="14" t="s">
        <v>635</v>
      </c>
      <c r="E97" s="36" t="s">
        <v>1134</v>
      </c>
      <c r="F97" s="15" t="s">
        <v>1237</v>
      </c>
      <c r="I97" s="14" t="s">
        <v>702</v>
      </c>
      <c r="J97" s="44"/>
      <c r="K97" s="49"/>
      <c r="L97" s="39" t="s">
        <v>1276</v>
      </c>
    </row>
    <row r="98" spans="1:13" s="14" customFormat="1" ht="14.5" customHeight="1">
      <c r="A98" s="15"/>
      <c r="B98" s="15"/>
      <c r="C98" s="15"/>
      <c r="E98" s="36"/>
      <c r="F98" s="15"/>
      <c r="J98" s="44"/>
      <c r="K98" s="49"/>
      <c r="L98" s="39"/>
    </row>
    <row r="99" spans="1:13" s="14" customFormat="1" ht="14.5" customHeight="1">
      <c r="A99" s="15"/>
      <c r="B99" s="50" t="s">
        <v>1243</v>
      </c>
      <c r="C99" s="50"/>
      <c r="D99" s="50"/>
      <c r="E99" s="50"/>
      <c r="F99" s="50"/>
      <c r="J99" s="44"/>
      <c r="K99" s="49"/>
      <c r="L99" s="39"/>
    </row>
    <row r="100" spans="1:13" s="14" customFormat="1" ht="14.5" customHeight="1">
      <c r="A100" s="15"/>
      <c r="B100" s="15" t="s">
        <v>703</v>
      </c>
      <c r="C100" s="15" t="s">
        <v>638</v>
      </c>
      <c r="D100" s="45" t="s">
        <v>1154</v>
      </c>
      <c r="E100" s="36"/>
      <c r="F100" s="15" t="s">
        <v>1245</v>
      </c>
      <c r="I100" s="15" t="s">
        <v>1273</v>
      </c>
      <c r="J100" s="44"/>
      <c r="K100" s="49"/>
      <c r="L100" s="39"/>
    </row>
    <row r="101" spans="1:13" s="14" customFormat="1" ht="14.5" customHeight="1">
      <c r="A101" s="15"/>
      <c r="B101" s="15" t="s">
        <v>703</v>
      </c>
      <c r="C101" s="15" t="s">
        <v>638</v>
      </c>
      <c r="D101" s="15" t="s">
        <v>1271</v>
      </c>
      <c r="E101" s="36"/>
      <c r="F101" s="15" t="s">
        <v>1245</v>
      </c>
      <c r="I101" s="15" t="s">
        <v>1270</v>
      </c>
      <c r="J101" s="44"/>
      <c r="K101" s="49"/>
      <c r="L101" s="39"/>
    </row>
    <row r="102" spans="1:13" s="14" customFormat="1" ht="14.5" customHeight="1">
      <c r="A102" s="15"/>
      <c r="B102" s="15" t="s">
        <v>703</v>
      </c>
      <c r="C102" s="15" t="s">
        <v>638</v>
      </c>
      <c r="D102" s="15" t="s">
        <v>1247</v>
      </c>
      <c r="E102" s="36" t="s">
        <v>1135</v>
      </c>
      <c r="F102" s="15" t="s">
        <v>1246</v>
      </c>
      <c r="I102" s="15" t="s">
        <v>1269</v>
      </c>
      <c r="J102" s="44"/>
      <c r="K102" s="49"/>
      <c r="L102" s="39" t="s">
        <v>1278</v>
      </c>
    </row>
    <row r="103" spans="1:13" ht="14.5" customHeight="1">
      <c r="B103" s="10" t="s">
        <v>703</v>
      </c>
      <c r="C103" s="10" t="s">
        <v>605</v>
      </c>
      <c r="D103" s="10" t="s">
        <v>604</v>
      </c>
      <c r="F103" s="10" t="s">
        <v>1248</v>
      </c>
      <c r="I103" s="10" t="s">
        <v>1249</v>
      </c>
    </row>
    <row r="104" spans="1:13" s="14" customFormat="1" ht="14.5" customHeight="1">
      <c r="A104" s="15"/>
      <c r="B104" s="15" t="s">
        <v>703</v>
      </c>
      <c r="C104" s="15" t="s">
        <v>638</v>
      </c>
      <c r="D104" s="15" t="s">
        <v>714</v>
      </c>
      <c r="E104" s="36"/>
      <c r="F104" s="15" t="s">
        <v>1245</v>
      </c>
      <c r="I104" s="15" t="s">
        <v>1244</v>
      </c>
      <c r="J104" s="44"/>
      <c r="K104" s="49"/>
      <c r="L104" s="39"/>
    </row>
    <row r="105" spans="1:13" ht="14.5" customHeight="1">
      <c r="B105" s="52" t="s">
        <v>1274</v>
      </c>
      <c r="C105" s="52"/>
      <c r="D105" s="52"/>
      <c r="E105" s="52"/>
      <c r="F105" s="52"/>
    </row>
    <row r="106" spans="1:13" s="14" customFormat="1" ht="14.5" customHeight="1">
      <c r="A106" s="15"/>
      <c r="B106" s="15" t="s">
        <v>703</v>
      </c>
      <c r="C106" s="15" t="s">
        <v>638</v>
      </c>
      <c r="D106" s="43" t="s">
        <v>1272</v>
      </c>
      <c r="E106" s="36" t="s">
        <v>1135</v>
      </c>
      <c r="F106" s="15" t="s">
        <v>1245</v>
      </c>
      <c r="I106" s="15" t="s">
        <v>1273</v>
      </c>
      <c r="J106" s="44"/>
      <c r="K106" s="49"/>
      <c r="L106" s="39" t="s">
        <v>1275</v>
      </c>
    </row>
    <row r="107" spans="1:13" s="14" customFormat="1" ht="14.5" customHeight="1">
      <c r="A107" s="15"/>
      <c r="B107" s="15"/>
      <c r="C107" s="15"/>
      <c r="E107" s="36"/>
      <c r="J107" s="44"/>
      <c r="K107" s="49"/>
      <c r="L107" s="39"/>
    </row>
    <row r="108" spans="1:13" s="30" customFormat="1" ht="14.5" customHeight="1">
      <c r="B108" s="30" t="s">
        <v>781</v>
      </c>
      <c r="C108" s="30" t="s">
        <v>782</v>
      </c>
      <c r="D108" s="30" t="s">
        <v>783</v>
      </c>
      <c r="E108" s="36" t="s">
        <v>1134</v>
      </c>
      <c r="F108" s="30" t="s">
        <v>868</v>
      </c>
      <c r="I108" s="30" t="s">
        <v>1196</v>
      </c>
      <c r="J108" s="31"/>
      <c r="K108" s="61"/>
      <c r="L108" s="39" t="s">
        <v>1266</v>
      </c>
    </row>
    <row r="109" spans="1:13" s="30" customFormat="1" ht="14.5" customHeight="1">
      <c r="B109" s="15" t="s">
        <v>781</v>
      </c>
      <c r="C109" s="15" t="s">
        <v>782</v>
      </c>
      <c r="D109" s="15" t="s">
        <v>784</v>
      </c>
      <c r="E109" s="36" t="s">
        <v>1263</v>
      </c>
      <c r="F109" s="15" t="s">
        <v>870</v>
      </c>
      <c r="G109" s="15"/>
      <c r="H109" s="15"/>
      <c r="I109" s="15" t="s">
        <v>871</v>
      </c>
      <c r="J109" s="31" t="s">
        <v>1264</v>
      </c>
      <c r="K109" s="61"/>
      <c r="L109" s="39" t="s">
        <v>1311</v>
      </c>
    </row>
    <row r="110" spans="1:13" s="15" customFormat="1" ht="14.5" customHeight="1">
      <c r="B110" s="15" t="s">
        <v>781</v>
      </c>
      <c r="C110" s="15" t="s">
        <v>782</v>
      </c>
      <c r="D110" s="15" t="s">
        <v>1138</v>
      </c>
      <c r="E110" s="34" t="s">
        <v>38</v>
      </c>
      <c r="F110" s="15" t="s">
        <v>870</v>
      </c>
      <c r="I110" s="15" t="s">
        <v>1141</v>
      </c>
      <c r="J110" s="44"/>
      <c r="K110" s="49"/>
      <c r="L110" s="39" t="s">
        <v>1140</v>
      </c>
      <c r="M110" s="15" t="s">
        <v>1139</v>
      </c>
    </row>
    <row r="111" spans="1:13" s="30" customFormat="1" ht="14.5" customHeight="1">
      <c r="B111" s="15" t="s">
        <v>874</v>
      </c>
      <c r="C111" s="15" t="s">
        <v>605</v>
      </c>
      <c r="D111" s="15" t="s">
        <v>635</v>
      </c>
      <c r="E111" s="34" t="s">
        <v>1214</v>
      </c>
      <c r="F111" s="15" t="s">
        <v>872</v>
      </c>
      <c r="G111" s="15"/>
      <c r="H111" s="15"/>
      <c r="I111" s="15" t="s">
        <v>873</v>
      </c>
      <c r="J111" s="31"/>
      <c r="K111" s="61"/>
      <c r="L111" s="39" t="s">
        <v>1217</v>
      </c>
    </row>
    <row r="112" spans="1:13" s="14" customFormat="1" ht="14.5" customHeight="1">
      <c r="A112" s="15"/>
      <c r="B112" s="15" t="s">
        <v>874</v>
      </c>
      <c r="C112" s="15" t="s">
        <v>605</v>
      </c>
      <c r="D112" s="15" t="s">
        <v>780</v>
      </c>
      <c r="E112" s="34" t="s">
        <v>1214</v>
      </c>
      <c r="F112" s="15" t="s">
        <v>875</v>
      </c>
      <c r="G112" s="15"/>
      <c r="H112" s="15"/>
      <c r="I112" s="15" t="s">
        <v>873</v>
      </c>
      <c r="J112" s="44"/>
      <c r="K112" s="49"/>
      <c r="L112" s="39" t="s">
        <v>1215</v>
      </c>
    </row>
    <row r="113" spans="1:13" s="30" customFormat="1" ht="14.5" customHeight="1">
      <c r="B113" s="15" t="s">
        <v>874</v>
      </c>
      <c r="C113" s="15" t="s">
        <v>605</v>
      </c>
      <c r="D113" s="15" t="s">
        <v>726</v>
      </c>
      <c r="E113" s="34" t="s">
        <v>1214</v>
      </c>
      <c r="F113" s="15" t="s">
        <v>869</v>
      </c>
      <c r="G113" s="15"/>
      <c r="H113" s="15"/>
      <c r="I113" s="15" t="s">
        <v>873</v>
      </c>
      <c r="J113" s="31"/>
      <c r="K113" s="61"/>
      <c r="L113" s="39" t="s">
        <v>1216</v>
      </c>
    </row>
    <row r="114" spans="1:13" s="14" customFormat="1" ht="14.5" customHeight="1">
      <c r="A114" s="15"/>
      <c r="B114" s="15"/>
      <c r="C114" s="15"/>
      <c r="E114" s="34"/>
      <c r="J114" s="44"/>
      <c r="K114" s="49"/>
      <c r="L114" s="39"/>
    </row>
    <row r="115" spans="1:13" s="14" customFormat="1" ht="14.5" customHeight="1">
      <c r="A115" s="15"/>
      <c r="B115" s="15" t="s">
        <v>874</v>
      </c>
      <c r="C115" s="15" t="s">
        <v>605</v>
      </c>
      <c r="D115" s="15" t="s">
        <v>652</v>
      </c>
      <c r="E115" s="34"/>
      <c r="F115" s="15" t="s">
        <v>1155</v>
      </c>
      <c r="I115" s="15" t="s">
        <v>876</v>
      </c>
      <c r="J115" s="44"/>
      <c r="K115" s="49"/>
      <c r="L115" s="39"/>
    </row>
    <row r="116" spans="1:13" s="14" customFormat="1" ht="14.5" customHeight="1">
      <c r="A116" s="15"/>
      <c r="B116" s="15" t="s">
        <v>877</v>
      </c>
      <c r="C116" s="15" t="s">
        <v>604</v>
      </c>
      <c r="D116" s="15" t="s">
        <v>880</v>
      </c>
      <c r="E116" s="34"/>
      <c r="F116" s="15" t="s">
        <v>1156</v>
      </c>
      <c r="I116" s="15" t="s">
        <v>881</v>
      </c>
      <c r="J116" s="44"/>
      <c r="K116" s="49"/>
      <c r="L116" s="39"/>
    </row>
    <row r="117" spans="1:13" s="14" customFormat="1" ht="14.5" customHeight="1">
      <c r="A117" s="15"/>
      <c r="B117" s="15" t="s">
        <v>877</v>
      </c>
      <c r="C117" s="15" t="s">
        <v>604</v>
      </c>
      <c r="D117" s="15" t="s">
        <v>879</v>
      </c>
      <c r="E117" s="34"/>
      <c r="F117" s="15" t="s">
        <v>1156</v>
      </c>
      <c r="I117" s="15" t="s">
        <v>1153</v>
      </c>
      <c r="J117" s="44"/>
      <c r="K117" s="49"/>
      <c r="L117" s="39"/>
    </row>
    <row r="118" spans="1:13" s="14" customFormat="1" ht="14.5" customHeight="1">
      <c r="A118" s="15"/>
      <c r="B118" s="15" t="s">
        <v>877</v>
      </c>
      <c r="C118" s="15" t="s">
        <v>604</v>
      </c>
      <c r="D118" s="15" t="s">
        <v>1154</v>
      </c>
      <c r="E118" s="34"/>
      <c r="F118" s="15" t="s">
        <v>1156</v>
      </c>
      <c r="I118" s="15" t="s">
        <v>878</v>
      </c>
      <c r="J118" s="44"/>
      <c r="K118" s="49"/>
      <c r="L118" s="39"/>
    </row>
    <row r="119" spans="1:13" s="14" customFormat="1" ht="14.5" customHeight="1">
      <c r="A119" s="15"/>
      <c r="B119" s="15" t="s">
        <v>781</v>
      </c>
      <c r="C119" s="15" t="s">
        <v>611</v>
      </c>
      <c r="D119" s="15" t="s">
        <v>1158</v>
      </c>
      <c r="E119" s="34"/>
      <c r="F119" s="15" t="s">
        <v>171</v>
      </c>
      <c r="I119" s="15" t="s">
        <v>1157</v>
      </c>
      <c r="J119" s="44"/>
      <c r="K119" s="49"/>
      <c r="L119" s="39"/>
    </row>
    <row r="120" spans="1:13" s="14" customFormat="1" ht="14.5" customHeight="1">
      <c r="A120" s="15"/>
      <c r="B120" s="15"/>
      <c r="C120" s="15"/>
      <c r="D120" s="15"/>
      <c r="E120" s="34"/>
      <c r="F120" s="15"/>
      <c r="I120" s="15"/>
      <c r="J120" s="44"/>
      <c r="K120" s="49"/>
      <c r="L120" s="39"/>
    </row>
    <row r="122" spans="1:13" s="30" customFormat="1" ht="14.5" customHeight="1">
      <c r="B122" s="15" t="s">
        <v>1054</v>
      </c>
      <c r="C122" s="15" t="s">
        <v>604</v>
      </c>
      <c r="D122" s="15" t="s">
        <v>1055</v>
      </c>
      <c r="E122" s="34" t="s">
        <v>1135</v>
      </c>
      <c r="F122" s="15" t="s">
        <v>1052</v>
      </c>
      <c r="G122" s="15"/>
      <c r="H122" s="15"/>
      <c r="I122" s="15" t="s">
        <v>1053</v>
      </c>
      <c r="J122" s="44"/>
      <c r="K122" s="49"/>
      <c r="L122" s="39" t="s">
        <v>1280</v>
      </c>
      <c r="M122" s="15" t="s">
        <v>553</v>
      </c>
    </row>
    <row r="123" spans="1:13" s="30" customFormat="1" ht="14.5" customHeight="1">
      <c r="B123" s="15" t="s">
        <v>1057</v>
      </c>
      <c r="C123" s="15" t="s">
        <v>553</v>
      </c>
      <c r="D123" s="15" t="s">
        <v>1056</v>
      </c>
      <c r="E123" s="36" t="s">
        <v>1263</v>
      </c>
      <c r="F123" s="15" t="s">
        <v>1059</v>
      </c>
      <c r="G123" s="15"/>
      <c r="H123" s="15"/>
      <c r="I123" s="15" t="s">
        <v>1058</v>
      </c>
      <c r="J123" s="46" t="s">
        <v>1264</v>
      </c>
      <c r="K123" s="62">
        <v>46282</v>
      </c>
      <c r="M123" s="15"/>
    </row>
    <row r="124" spans="1:13" s="30" customFormat="1" ht="14.5" customHeight="1">
      <c r="B124" s="15" t="s">
        <v>1062</v>
      </c>
      <c r="C124" s="15" t="s">
        <v>553</v>
      </c>
      <c r="D124" s="15" t="s">
        <v>1061</v>
      </c>
      <c r="E124" s="34" t="s">
        <v>1135</v>
      </c>
      <c r="F124" s="15" t="s">
        <v>1060</v>
      </c>
      <c r="G124" s="15"/>
      <c r="H124" s="15"/>
      <c r="I124" s="15" t="s">
        <v>257</v>
      </c>
      <c r="J124" s="44"/>
      <c r="K124" s="49"/>
      <c r="L124" s="39"/>
      <c r="M124" s="15"/>
    </row>
    <row r="125" spans="1:13" s="30" customFormat="1" ht="14.5" customHeight="1">
      <c r="B125" s="15" t="s">
        <v>1062</v>
      </c>
      <c r="C125" s="15" t="s">
        <v>553</v>
      </c>
      <c r="D125" s="15" t="s">
        <v>1063</v>
      </c>
      <c r="E125" s="34" t="s">
        <v>1135</v>
      </c>
      <c r="F125" s="15" t="s">
        <v>1067</v>
      </c>
      <c r="G125" s="15"/>
      <c r="H125" s="15"/>
      <c r="I125" s="15" t="s">
        <v>1066</v>
      </c>
      <c r="J125" s="44"/>
      <c r="K125" s="49"/>
      <c r="L125" s="39" t="s">
        <v>1294</v>
      </c>
      <c r="M125" s="15"/>
    </row>
    <row r="126" spans="1:13" s="30" customFormat="1" ht="14.5" customHeight="1">
      <c r="B126" s="15" t="s">
        <v>1062</v>
      </c>
      <c r="C126" s="15" t="s">
        <v>553</v>
      </c>
      <c r="D126" s="15" t="s">
        <v>1064</v>
      </c>
      <c r="E126" s="34" t="s">
        <v>1135</v>
      </c>
      <c r="F126" s="15" t="s">
        <v>1068</v>
      </c>
      <c r="G126" s="15"/>
      <c r="H126" s="15"/>
      <c r="I126" s="15" t="s">
        <v>1065</v>
      </c>
      <c r="J126" s="44"/>
      <c r="K126" s="49"/>
      <c r="L126" s="39" t="s">
        <v>1293</v>
      </c>
      <c r="M126" s="15"/>
    </row>
    <row r="127" spans="1:13" s="14" customFormat="1" ht="14.5" customHeight="1">
      <c r="A127" s="15"/>
      <c r="B127" s="15"/>
      <c r="C127" s="15"/>
      <c r="D127" s="15"/>
      <c r="E127" s="34"/>
      <c r="F127" s="15"/>
      <c r="G127" s="15"/>
      <c r="H127" s="15"/>
      <c r="I127" s="15"/>
      <c r="J127" s="44"/>
      <c r="K127" s="49"/>
      <c r="L127" s="39"/>
      <c r="M127" s="15"/>
    </row>
    <row r="128" spans="1:13" s="31" customFormat="1" ht="14.5" customHeight="1">
      <c r="B128" s="15" t="s">
        <v>1103</v>
      </c>
      <c r="C128" s="15" t="s">
        <v>553</v>
      </c>
      <c r="D128" s="15" t="s">
        <v>1104</v>
      </c>
      <c r="E128" s="34" t="s">
        <v>1214</v>
      </c>
      <c r="F128" s="15" t="s">
        <v>1102</v>
      </c>
      <c r="G128" s="15"/>
      <c r="H128" s="15"/>
      <c r="I128" s="15" t="s">
        <v>1105</v>
      </c>
      <c r="J128" s="44"/>
      <c r="K128" s="49"/>
      <c r="L128" s="40"/>
      <c r="M128" s="15" t="s">
        <v>1106</v>
      </c>
    </row>
    <row r="129" spans="1:13" s="31" customFormat="1" ht="14.5" customHeight="1">
      <c r="B129" s="44" t="s">
        <v>1103</v>
      </c>
      <c r="C129" s="44" t="s">
        <v>553</v>
      </c>
      <c r="D129" s="44" t="s">
        <v>1108</v>
      </c>
      <c r="E129" s="34" t="s">
        <v>1214</v>
      </c>
      <c r="F129" s="44" t="s">
        <v>1102</v>
      </c>
      <c r="G129" s="44"/>
      <c r="H129" s="44"/>
      <c r="I129" s="44" t="s">
        <v>1107</v>
      </c>
      <c r="J129" s="44"/>
      <c r="K129" s="49"/>
      <c r="L129" s="40"/>
      <c r="M129" s="44" t="s">
        <v>1109</v>
      </c>
    </row>
    <row r="130" spans="1:13" s="14" customFormat="1" ht="14.5" customHeight="1">
      <c r="A130" s="15"/>
      <c r="B130" s="15" t="s">
        <v>1103</v>
      </c>
      <c r="C130" s="15" t="s">
        <v>553</v>
      </c>
      <c r="D130" s="15" t="s">
        <v>1113</v>
      </c>
      <c r="E130" s="34" t="s">
        <v>1214</v>
      </c>
      <c r="F130" s="15" t="s">
        <v>1110</v>
      </c>
      <c r="G130" s="15"/>
      <c r="H130" s="15"/>
      <c r="I130" s="15" t="s">
        <v>1111</v>
      </c>
      <c r="J130" s="44"/>
      <c r="K130" s="49"/>
      <c r="L130" s="39"/>
      <c r="M130" s="15" t="s">
        <v>1112</v>
      </c>
    </row>
    <row r="131" spans="1:13" s="14" customFormat="1" ht="14.5" customHeight="1">
      <c r="A131" s="15"/>
      <c r="B131" s="15"/>
      <c r="C131" s="15"/>
      <c r="D131" s="15"/>
      <c r="E131" s="34"/>
      <c r="F131" s="15"/>
      <c r="I131" s="15"/>
      <c r="J131" s="44"/>
      <c r="K131" s="49"/>
      <c r="L131" s="39"/>
    </row>
    <row r="132" spans="1:13" s="14" customFormat="1" ht="14.5" customHeight="1">
      <c r="A132" s="15"/>
      <c r="B132" s="15" t="s">
        <v>1054</v>
      </c>
      <c r="C132" s="15" t="s">
        <v>1123</v>
      </c>
      <c r="D132" s="15" t="s">
        <v>1124</v>
      </c>
      <c r="E132" s="34"/>
      <c r="F132" s="15" t="s">
        <v>1121</v>
      </c>
      <c r="I132" s="15" t="s">
        <v>1122</v>
      </c>
      <c r="J132" s="44"/>
      <c r="K132" s="49"/>
      <c r="L132" s="39"/>
    </row>
    <row r="133" spans="1:13" s="14" customFormat="1" ht="14.5" customHeight="1">
      <c r="A133" s="15"/>
      <c r="B133" s="15"/>
      <c r="C133" s="15"/>
      <c r="D133" s="15"/>
      <c r="E133" s="34"/>
      <c r="F133" s="15"/>
      <c r="I133" s="15"/>
      <c r="J133" s="44"/>
      <c r="K133" s="49"/>
      <c r="L133" s="39"/>
    </row>
    <row r="134" spans="1:13" s="14" customFormat="1" ht="14.5" customHeight="1">
      <c r="A134" s="15"/>
      <c r="B134" s="15"/>
      <c r="C134" s="15"/>
      <c r="E134" s="34"/>
      <c r="J134" s="44"/>
      <c r="K134" s="49"/>
      <c r="L134" s="39"/>
    </row>
    <row r="135" spans="1:13" ht="14.5" customHeight="1">
      <c r="B135" s="11" t="s">
        <v>552</v>
      </c>
      <c r="C135" s="11" t="s">
        <v>553</v>
      </c>
      <c r="D135" s="10" t="s">
        <v>554</v>
      </c>
      <c r="E135" s="32" t="s">
        <v>1135</v>
      </c>
      <c r="F135" s="11" t="s">
        <v>549</v>
      </c>
      <c r="G135" s="10" t="s">
        <v>589</v>
      </c>
      <c r="H135" s="10" t="s">
        <v>551</v>
      </c>
      <c r="I135" s="10" t="s">
        <v>556</v>
      </c>
      <c r="L135" s="37" t="s">
        <v>1281</v>
      </c>
      <c r="M135" s="11" t="s">
        <v>566</v>
      </c>
    </row>
    <row r="136" spans="1:13" ht="14.5" customHeight="1">
      <c r="B136" s="11" t="s">
        <v>552</v>
      </c>
      <c r="C136" s="11" t="s">
        <v>553</v>
      </c>
      <c r="D136" s="10" t="s">
        <v>555</v>
      </c>
      <c r="E136" s="32" t="s">
        <v>1135</v>
      </c>
      <c r="F136" s="11" t="s">
        <v>550</v>
      </c>
      <c r="G136" s="10" t="s">
        <v>589</v>
      </c>
      <c r="H136" s="10" t="s">
        <v>551</v>
      </c>
      <c r="I136" s="10" t="s">
        <v>556</v>
      </c>
      <c r="L136" s="37" t="s">
        <v>1295</v>
      </c>
      <c r="M136" s="11" t="s">
        <v>567</v>
      </c>
    </row>
    <row r="137" spans="1:13" ht="14.5" customHeight="1">
      <c r="B137" s="11" t="s">
        <v>552</v>
      </c>
      <c r="C137" s="11" t="s">
        <v>553</v>
      </c>
      <c r="D137" s="10" t="s">
        <v>569</v>
      </c>
      <c r="E137" s="32" t="s">
        <v>105</v>
      </c>
      <c r="F137" s="11" t="s">
        <v>549</v>
      </c>
      <c r="G137" s="10" t="s">
        <v>590</v>
      </c>
      <c r="H137" s="10" t="s">
        <v>568</v>
      </c>
      <c r="I137" s="10" t="s">
        <v>556</v>
      </c>
      <c r="M137" s="10" t="s">
        <v>570</v>
      </c>
    </row>
    <row r="138" spans="1:13" ht="14.5" customHeight="1">
      <c r="B138" s="11" t="s">
        <v>552</v>
      </c>
      <c r="C138" s="11" t="s">
        <v>553</v>
      </c>
      <c r="D138" s="10" t="s">
        <v>583</v>
      </c>
      <c r="E138" s="32" t="s">
        <v>105</v>
      </c>
      <c r="F138" s="11" t="s">
        <v>549</v>
      </c>
      <c r="G138" s="10" t="s">
        <v>588</v>
      </c>
      <c r="H138" s="10" t="s">
        <v>581</v>
      </c>
      <c r="I138" s="10" t="s">
        <v>556</v>
      </c>
      <c r="M138" s="10" t="s">
        <v>585</v>
      </c>
    </row>
    <row r="139" spans="1:13" ht="14.5" customHeight="1">
      <c r="B139" s="11" t="s">
        <v>552</v>
      </c>
      <c r="C139" s="11" t="s">
        <v>553</v>
      </c>
      <c r="D139" s="10" t="s">
        <v>584</v>
      </c>
      <c r="E139" s="32" t="s">
        <v>105</v>
      </c>
      <c r="F139" s="11" t="s">
        <v>550</v>
      </c>
      <c r="G139" s="10" t="s">
        <v>588</v>
      </c>
      <c r="H139" s="10" t="s">
        <v>581</v>
      </c>
      <c r="I139" s="10" t="s">
        <v>556</v>
      </c>
      <c r="M139" s="10" t="s">
        <v>586</v>
      </c>
    </row>
    <row r="140" spans="1:13" ht="14.5" customHeight="1">
      <c r="D140" s="10"/>
      <c r="E140" s="32" t="s">
        <v>105</v>
      </c>
      <c r="G140" s="10"/>
      <c r="H140" s="10"/>
      <c r="I140" s="10"/>
      <c r="M140" s="10"/>
    </row>
    <row r="141" spans="1:13" ht="14.5" customHeight="1">
      <c r="B141" s="11" t="s">
        <v>552</v>
      </c>
      <c r="C141" s="11" t="s">
        <v>553</v>
      </c>
      <c r="D141" s="10" t="s">
        <v>561</v>
      </c>
      <c r="E141" s="32" t="s">
        <v>1133</v>
      </c>
      <c r="F141" s="11" t="s">
        <v>557</v>
      </c>
      <c r="G141" s="10" t="s">
        <v>589</v>
      </c>
      <c r="H141" s="10" t="s">
        <v>551</v>
      </c>
      <c r="I141" s="10">
        <v>1917</v>
      </c>
      <c r="M141" s="11">
        <v>16</v>
      </c>
    </row>
    <row r="142" spans="1:13" ht="14.5" customHeight="1">
      <c r="B142" s="11" t="s">
        <v>552</v>
      </c>
      <c r="C142" s="11" t="s">
        <v>553</v>
      </c>
      <c r="D142" s="10" t="s">
        <v>562</v>
      </c>
      <c r="E142" s="32" t="s">
        <v>105</v>
      </c>
      <c r="F142" s="11" t="s">
        <v>558</v>
      </c>
      <c r="G142" s="10" t="s">
        <v>589</v>
      </c>
      <c r="H142" s="10" t="s">
        <v>551</v>
      </c>
      <c r="I142" s="10">
        <v>1917</v>
      </c>
      <c r="M142" s="11">
        <v>13</v>
      </c>
    </row>
    <row r="143" spans="1:13" ht="14.5" customHeight="1">
      <c r="B143" s="11" t="s">
        <v>552</v>
      </c>
      <c r="C143" s="11" t="s">
        <v>553</v>
      </c>
      <c r="D143" s="10" t="s">
        <v>563</v>
      </c>
      <c r="E143" s="32" t="s">
        <v>105</v>
      </c>
      <c r="F143" s="11" t="s">
        <v>558</v>
      </c>
      <c r="G143" s="10" t="s">
        <v>589</v>
      </c>
      <c r="H143" s="10" t="s">
        <v>551</v>
      </c>
      <c r="I143" s="10">
        <v>1917</v>
      </c>
      <c r="M143" s="11">
        <v>21</v>
      </c>
    </row>
    <row r="144" spans="1:13" ht="14.5" customHeight="1">
      <c r="B144" s="11" t="s">
        <v>552</v>
      </c>
      <c r="C144" s="11" t="s">
        <v>553</v>
      </c>
      <c r="D144" s="10" t="s">
        <v>564</v>
      </c>
      <c r="E144" s="32" t="s">
        <v>105</v>
      </c>
      <c r="F144" s="10" t="s">
        <v>582</v>
      </c>
      <c r="G144" s="10" t="s">
        <v>589</v>
      </c>
      <c r="H144" s="10" t="s">
        <v>551</v>
      </c>
      <c r="I144" s="10">
        <v>1917</v>
      </c>
      <c r="M144" s="11">
        <v>233</v>
      </c>
    </row>
    <row r="145" spans="2:13" ht="14.5" customHeight="1">
      <c r="B145" s="11" t="s">
        <v>552</v>
      </c>
      <c r="C145" s="11" t="s">
        <v>553</v>
      </c>
      <c r="D145" s="11" t="s">
        <v>575</v>
      </c>
      <c r="E145" s="32" t="s">
        <v>1135</v>
      </c>
      <c r="F145" s="11" t="s">
        <v>557</v>
      </c>
      <c r="G145" s="10" t="s">
        <v>588</v>
      </c>
      <c r="H145" s="10" t="s">
        <v>581</v>
      </c>
      <c r="I145" s="10" t="s">
        <v>560</v>
      </c>
      <c r="L145" s="37" t="s">
        <v>1282</v>
      </c>
      <c r="M145" s="11" t="s">
        <v>571</v>
      </c>
    </row>
    <row r="146" spans="2:13" ht="14.5" customHeight="1">
      <c r="B146" s="11" t="s">
        <v>552</v>
      </c>
      <c r="C146" s="11" t="s">
        <v>553</v>
      </c>
      <c r="D146" s="11" t="s">
        <v>576</v>
      </c>
      <c r="E146" s="32" t="s">
        <v>1214</v>
      </c>
      <c r="F146" s="11" t="s">
        <v>557</v>
      </c>
      <c r="G146" s="10" t="s">
        <v>588</v>
      </c>
      <c r="H146" s="10" t="s">
        <v>581</v>
      </c>
      <c r="I146" s="10" t="s">
        <v>560</v>
      </c>
      <c r="M146" s="11" t="s">
        <v>572</v>
      </c>
    </row>
    <row r="147" spans="2:13" ht="14.5" customHeight="1">
      <c r="B147" s="11" t="s">
        <v>552</v>
      </c>
      <c r="C147" s="11" t="s">
        <v>553</v>
      </c>
      <c r="D147" s="11" t="s">
        <v>577</v>
      </c>
      <c r="E147" s="32" t="s">
        <v>1214</v>
      </c>
      <c r="F147" s="11" t="s">
        <v>557</v>
      </c>
      <c r="G147" s="10" t="s">
        <v>588</v>
      </c>
      <c r="H147" s="10" t="s">
        <v>581</v>
      </c>
      <c r="I147" s="10" t="s">
        <v>560</v>
      </c>
      <c r="M147" s="11" t="s">
        <v>573</v>
      </c>
    </row>
    <row r="148" spans="2:13" ht="14.5" customHeight="1">
      <c r="B148" s="11" t="s">
        <v>552</v>
      </c>
      <c r="C148" s="11" t="s">
        <v>553</v>
      </c>
      <c r="D148" s="11" t="s">
        <v>578</v>
      </c>
      <c r="E148" s="32" t="s">
        <v>105</v>
      </c>
      <c r="F148" s="11" t="s">
        <v>558</v>
      </c>
      <c r="G148" s="10" t="s">
        <v>588</v>
      </c>
      <c r="H148" s="10" t="s">
        <v>581</v>
      </c>
      <c r="I148" s="10" t="s">
        <v>560</v>
      </c>
      <c r="M148" s="11" t="s">
        <v>573</v>
      </c>
    </row>
    <row r="149" spans="2:13" ht="14.5" customHeight="1">
      <c r="B149" s="11" t="s">
        <v>552</v>
      </c>
      <c r="C149" s="11" t="s">
        <v>553</v>
      </c>
      <c r="D149" s="11" t="s">
        <v>579</v>
      </c>
      <c r="E149" s="32" t="s">
        <v>105</v>
      </c>
      <c r="F149" s="11" t="s">
        <v>558</v>
      </c>
      <c r="G149" s="10" t="s">
        <v>588</v>
      </c>
      <c r="H149" s="10" t="s">
        <v>581</v>
      </c>
      <c r="I149" s="10" t="s">
        <v>560</v>
      </c>
      <c r="M149" s="11" t="s">
        <v>574</v>
      </c>
    </row>
    <row r="150" spans="2:13" ht="14.5" customHeight="1">
      <c r="B150" s="11" t="s">
        <v>552</v>
      </c>
      <c r="C150" s="11" t="s">
        <v>553</v>
      </c>
      <c r="D150" s="11" t="s">
        <v>580</v>
      </c>
      <c r="E150" s="32" t="s">
        <v>105</v>
      </c>
      <c r="F150" s="11" t="s">
        <v>559</v>
      </c>
      <c r="G150" s="10" t="s">
        <v>588</v>
      </c>
      <c r="H150" s="10" t="s">
        <v>581</v>
      </c>
      <c r="I150" s="10" t="s">
        <v>560</v>
      </c>
      <c r="M150" s="11" t="s">
        <v>554</v>
      </c>
    </row>
    <row r="151" spans="2:13" ht="14.5" customHeight="1">
      <c r="E151" s="32" t="s">
        <v>105</v>
      </c>
    </row>
    <row r="152" spans="2:13" ht="14.5" customHeight="1">
      <c r="B152" s="10" t="s">
        <v>790</v>
      </c>
      <c r="C152" s="10" t="s">
        <v>726</v>
      </c>
      <c r="F152" s="19" t="s">
        <v>884</v>
      </c>
    </row>
    <row r="153" spans="2:13" ht="14.5" customHeight="1">
      <c r="D153" s="10" t="s">
        <v>808</v>
      </c>
      <c r="F153" s="10" t="s">
        <v>807</v>
      </c>
      <c r="I153" s="10">
        <v>1795</v>
      </c>
    </row>
    <row r="154" spans="2:13" ht="14.5" customHeight="1">
      <c r="D154" s="10" t="s">
        <v>789</v>
      </c>
      <c r="F154" s="10" t="s">
        <v>788</v>
      </c>
      <c r="I154" s="10">
        <v>1795</v>
      </c>
    </row>
    <row r="155" spans="2:13" ht="14.5" customHeight="1">
      <c r="D155" s="10">
        <v>173</v>
      </c>
      <c r="F155" s="10" t="s">
        <v>809</v>
      </c>
      <c r="I155" s="10">
        <v>1795</v>
      </c>
    </row>
    <row r="156" spans="2:13" ht="14.5" customHeight="1">
      <c r="B156" s="18"/>
      <c r="C156" s="18"/>
      <c r="D156" s="18">
        <v>173</v>
      </c>
      <c r="F156" s="18" t="s">
        <v>791</v>
      </c>
      <c r="G156" s="18"/>
      <c r="H156" s="18"/>
      <c r="I156" s="18">
        <v>1795</v>
      </c>
    </row>
    <row r="157" spans="2:13" ht="14.5" customHeight="1">
      <c r="D157" s="10" t="s">
        <v>811</v>
      </c>
      <c r="F157" s="10" t="s">
        <v>810</v>
      </c>
      <c r="I157" s="10">
        <v>1795</v>
      </c>
    </row>
    <row r="158" spans="2:13" ht="14.5" customHeight="1">
      <c r="D158" s="10" t="s">
        <v>812</v>
      </c>
      <c r="F158" s="10" t="s">
        <v>807</v>
      </c>
      <c r="I158" s="10">
        <v>1811</v>
      </c>
    </row>
    <row r="159" spans="2:13" ht="14.5" customHeight="1">
      <c r="D159" s="10" t="s">
        <v>793</v>
      </c>
      <c r="F159" s="10" t="s">
        <v>792</v>
      </c>
      <c r="I159" s="10">
        <v>1811</v>
      </c>
    </row>
    <row r="160" spans="2:13" ht="14.5" customHeight="1">
      <c r="D160" s="10" t="s">
        <v>814</v>
      </c>
      <c r="F160" s="10" t="s">
        <v>813</v>
      </c>
      <c r="I160" s="10">
        <v>1811</v>
      </c>
    </row>
    <row r="161" spans="2:9" ht="14.5" customHeight="1">
      <c r="D161" s="10" t="s">
        <v>815</v>
      </c>
      <c r="F161" s="10" t="s">
        <v>807</v>
      </c>
      <c r="I161" s="10">
        <v>1816</v>
      </c>
    </row>
    <row r="162" spans="2:9" ht="14.5" customHeight="1">
      <c r="D162" s="10" t="s">
        <v>794</v>
      </c>
      <c r="F162" s="10" t="s">
        <v>792</v>
      </c>
      <c r="I162" s="10">
        <v>1816</v>
      </c>
    </row>
    <row r="163" spans="2:9" ht="14.5" customHeight="1">
      <c r="D163" s="10">
        <v>99</v>
      </c>
      <c r="F163" s="10" t="s">
        <v>795</v>
      </c>
      <c r="I163" s="10">
        <v>1816</v>
      </c>
    </row>
    <row r="164" spans="2:9" ht="14.5" customHeight="1">
      <c r="B164" s="18"/>
      <c r="C164" s="18"/>
      <c r="D164" s="18">
        <v>102</v>
      </c>
      <c r="F164" s="18" t="s">
        <v>796</v>
      </c>
      <c r="G164" s="18"/>
      <c r="H164" s="18"/>
      <c r="I164" s="18">
        <v>1816</v>
      </c>
    </row>
    <row r="165" spans="2:9" ht="14.5" customHeight="1">
      <c r="B165" s="18"/>
      <c r="C165" s="18"/>
      <c r="D165" s="18" t="s">
        <v>798</v>
      </c>
      <c r="F165" s="18" t="s">
        <v>797</v>
      </c>
      <c r="G165" s="18"/>
      <c r="H165" s="18"/>
      <c r="I165" s="18">
        <v>1816</v>
      </c>
    </row>
    <row r="166" spans="2:9" ht="14.5" customHeight="1">
      <c r="D166" s="10">
        <v>96</v>
      </c>
      <c r="F166" s="10" t="s">
        <v>810</v>
      </c>
      <c r="I166" s="10">
        <v>1816</v>
      </c>
    </row>
    <row r="167" spans="2:9" ht="14.5" customHeight="1">
      <c r="B167" s="18"/>
      <c r="C167" s="18"/>
      <c r="D167" s="18">
        <v>102</v>
      </c>
      <c r="F167" s="18" t="s">
        <v>791</v>
      </c>
      <c r="G167" s="18"/>
      <c r="H167" s="18"/>
      <c r="I167" s="18">
        <v>1816</v>
      </c>
    </row>
    <row r="168" spans="2:9" ht="14.5" customHeight="1">
      <c r="D168" s="11">
        <v>102</v>
      </c>
      <c r="F168" s="11" t="s">
        <v>816</v>
      </c>
      <c r="I168" s="11">
        <v>1816</v>
      </c>
    </row>
    <row r="169" spans="2:9" ht="14.5" customHeight="1">
      <c r="D169" s="11" t="s">
        <v>799</v>
      </c>
      <c r="F169" s="11" t="s">
        <v>792</v>
      </c>
      <c r="I169" s="11">
        <v>1834</v>
      </c>
    </row>
    <row r="170" spans="2:9" ht="14.5" customHeight="1">
      <c r="D170" s="11" t="s">
        <v>800</v>
      </c>
      <c r="F170" s="11" t="s">
        <v>795</v>
      </c>
      <c r="I170" s="11">
        <v>1834</v>
      </c>
    </row>
    <row r="171" spans="2:9" ht="14.5" customHeight="1">
      <c r="B171" s="18"/>
      <c r="C171" s="18"/>
      <c r="D171" s="18" t="s">
        <v>801</v>
      </c>
      <c r="F171" s="18" t="s">
        <v>796</v>
      </c>
      <c r="G171" s="18"/>
      <c r="H171" s="18"/>
      <c r="I171" s="18">
        <v>1834</v>
      </c>
    </row>
    <row r="172" spans="2:9" ht="14.5" customHeight="1">
      <c r="B172" s="18"/>
      <c r="C172" s="18"/>
      <c r="D172" s="18" t="s">
        <v>803</v>
      </c>
      <c r="F172" s="18" t="s">
        <v>802</v>
      </c>
      <c r="G172" s="18"/>
      <c r="H172" s="18"/>
      <c r="I172" s="18">
        <v>1834</v>
      </c>
    </row>
    <row r="173" spans="2:9" ht="14.5" customHeight="1">
      <c r="D173" s="11" t="s">
        <v>818</v>
      </c>
      <c r="F173" s="11" t="s">
        <v>817</v>
      </c>
      <c r="I173" s="11">
        <v>1834</v>
      </c>
    </row>
    <row r="174" spans="2:9" ht="14.5" customHeight="1">
      <c r="B174" s="18"/>
      <c r="C174" s="18"/>
      <c r="D174" s="18" t="s">
        <v>804</v>
      </c>
      <c r="F174" s="18" t="s">
        <v>797</v>
      </c>
      <c r="G174" s="18"/>
      <c r="H174" s="18"/>
      <c r="I174" s="18">
        <v>1834</v>
      </c>
    </row>
    <row r="175" spans="2:9" ht="14.5" customHeight="1">
      <c r="D175" s="11">
        <v>286</v>
      </c>
      <c r="F175" s="11" t="s">
        <v>819</v>
      </c>
      <c r="I175" s="11">
        <v>1834</v>
      </c>
    </row>
    <row r="176" spans="2:9" ht="14.5" customHeight="1">
      <c r="B176" s="18"/>
      <c r="C176" s="18"/>
      <c r="D176" s="18" t="s">
        <v>805</v>
      </c>
      <c r="F176" s="18" t="s">
        <v>791</v>
      </c>
      <c r="G176" s="18"/>
      <c r="H176" s="18"/>
      <c r="I176" s="18">
        <v>1834</v>
      </c>
    </row>
    <row r="177" spans="2:9" ht="14.5" customHeight="1">
      <c r="D177" s="11" t="s">
        <v>820</v>
      </c>
      <c r="F177" s="11" t="s">
        <v>810</v>
      </c>
      <c r="I177" s="11">
        <v>1834</v>
      </c>
    </row>
    <row r="178" spans="2:9" ht="14.5" customHeight="1">
      <c r="D178" s="11" t="s">
        <v>822</v>
      </c>
      <c r="F178" s="11" t="s">
        <v>821</v>
      </c>
      <c r="I178" s="11">
        <v>1834</v>
      </c>
    </row>
    <row r="179" spans="2:9" ht="14.5" customHeight="1">
      <c r="D179" s="11">
        <v>276</v>
      </c>
      <c r="F179" s="11" t="s">
        <v>823</v>
      </c>
      <c r="I179" s="11">
        <v>1834</v>
      </c>
    </row>
    <row r="180" spans="2:9" ht="14.5" customHeight="1">
      <c r="D180" s="11" t="s">
        <v>825</v>
      </c>
      <c r="F180" s="11" t="s">
        <v>824</v>
      </c>
      <c r="I180" s="11">
        <v>1834</v>
      </c>
    </row>
    <row r="181" spans="2:9" ht="14.5" customHeight="1">
      <c r="D181" s="11" t="s">
        <v>827</v>
      </c>
      <c r="F181" s="11" t="s">
        <v>826</v>
      </c>
      <c r="I181" s="11">
        <v>1834</v>
      </c>
    </row>
    <row r="182" spans="2:9" ht="14.5" customHeight="1">
      <c r="D182" s="11">
        <v>122</v>
      </c>
      <c r="F182" s="11" t="s">
        <v>828</v>
      </c>
      <c r="I182" s="11">
        <v>1834</v>
      </c>
    </row>
    <row r="183" spans="2:9" ht="14.5" customHeight="1">
      <c r="D183" s="11">
        <v>1166</v>
      </c>
      <c r="F183" s="11" t="s">
        <v>829</v>
      </c>
      <c r="I183" s="11">
        <v>1834</v>
      </c>
    </row>
    <row r="184" spans="2:9" ht="14.5" customHeight="1">
      <c r="D184" s="11" t="s">
        <v>806</v>
      </c>
      <c r="F184" s="11" t="s">
        <v>792</v>
      </c>
      <c r="I184" s="11">
        <v>1850</v>
      </c>
    </row>
    <row r="185" spans="2:9" ht="14.5" customHeight="1">
      <c r="D185" s="11" t="s">
        <v>830</v>
      </c>
      <c r="F185" s="11" t="s">
        <v>795</v>
      </c>
      <c r="I185" s="11">
        <v>1850</v>
      </c>
    </row>
    <row r="186" spans="2:9" ht="14.5" customHeight="1">
      <c r="D186" s="11">
        <v>610</v>
      </c>
      <c r="F186" s="11" t="s">
        <v>831</v>
      </c>
      <c r="I186" s="11">
        <v>1850</v>
      </c>
    </row>
    <row r="187" spans="2:9" ht="14.5" customHeight="1">
      <c r="D187" s="11" t="s">
        <v>833</v>
      </c>
      <c r="F187" s="11" t="s">
        <v>832</v>
      </c>
      <c r="I187" s="11">
        <v>1850</v>
      </c>
    </row>
    <row r="188" spans="2:9" ht="14.5" customHeight="1">
      <c r="D188" s="11">
        <v>610</v>
      </c>
      <c r="F188" s="11" t="s">
        <v>834</v>
      </c>
      <c r="I188" s="11">
        <v>1850</v>
      </c>
    </row>
    <row r="189" spans="2:9" ht="14.5" customHeight="1">
      <c r="D189" s="11">
        <v>610</v>
      </c>
      <c r="F189" s="11" t="s">
        <v>835</v>
      </c>
      <c r="I189" s="11">
        <v>1850</v>
      </c>
    </row>
    <row r="190" spans="2:9" ht="14.5" customHeight="1">
      <c r="B190" s="18"/>
      <c r="C190" s="18"/>
      <c r="D190" s="18" t="s">
        <v>836</v>
      </c>
      <c r="F190" s="18" t="s">
        <v>796</v>
      </c>
      <c r="G190" s="18"/>
      <c r="H190" s="18"/>
      <c r="I190" s="18">
        <v>1850</v>
      </c>
    </row>
    <row r="191" spans="2:9" ht="14.5" customHeight="1">
      <c r="B191" s="18"/>
      <c r="C191" s="18"/>
      <c r="D191" s="18" t="s">
        <v>837</v>
      </c>
      <c r="F191" s="18" t="s">
        <v>802</v>
      </c>
      <c r="G191" s="18"/>
      <c r="H191" s="18"/>
      <c r="I191" s="18">
        <v>1850</v>
      </c>
    </row>
    <row r="192" spans="2:9" ht="14.5" customHeight="1">
      <c r="D192" s="11" t="s">
        <v>839</v>
      </c>
      <c r="F192" s="11" t="s">
        <v>838</v>
      </c>
      <c r="I192" s="11">
        <v>1850</v>
      </c>
    </row>
    <row r="193" spans="2:9" ht="14.5" customHeight="1">
      <c r="D193" s="11" t="s">
        <v>840</v>
      </c>
      <c r="F193" s="11" t="s">
        <v>817</v>
      </c>
      <c r="I193" s="11">
        <v>1850</v>
      </c>
    </row>
    <row r="194" spans="2:9" ht="14.5" customHeight="1">
      <c r="B194" s="18"/>
      <c r="C194" s="18"/>
      <c r="D194" s="18" t="s">
        <v>841</v>
      </c>
      <c r="F194" s="18" t="s">
        <v>797</v>
      </c>
      <c r="G194" s="18"/>
      <c r="H194" s="18"/>
      <c r="I194" s="18">
        <v>1850</v>
      </c>
    </row>
    <row r="195" spans="2:9" ht="14.5" customHeight="1">
      <c r="D195" s="11" t="s">
        <v>842</v>
      </c>
      <c r="F195" s="11" t="s">
        <v>809</v>
      </c>
      <c r="I195" s="11">
        <v>1850</v>
      </c>
    </row>
    <row r="196" spans="2:9" ht="14.5" customHeight="1">
      <c r="B196" s="18"/>
      <c r="C196" s="18"/>
      <c r="D196" s="18" t="s">
        <v>843</v>
      </c>
      <c r="F196" s="18" t="s">
        <v>791</v>
      </c>
      <c r="G196" s="18"/>
      <c r="H196" s="18"/>
      <c r="I196" s="18">
        <v>1850</v>
      </c>
    </row>
    <row r="197" spans="2:9" ht="14.5" customHeight="1">
      <c r="D197" s="11" t="s">
        <v>844</v>
      </c>
      <c r="F197" s="11" t="s">
        <v>810</v>
      </c>
      <c r="I197" s="11">
        <v>1850</v>
      </c>
    </row>
    <row r="198" spans="2:9" ht="14.5" customHeight="1">
      <c r="D198" s="11" t="s">
        <v>845</v>
      </c>
      <c r="F198" s="11" t="s">
        <v>821</v>
      </c>
      <c r="I198" s="11">
        <v>1850</v>
      </c>
    </row>
    <row r="199" spans="2:9" ht="14.5" customHeight="1">
      <c r="D199" s="11" t="s">
        <v>846</v>
      </c>
      <c r="F199" s="11" t="s">
        <v>823</v>
      </c>
      <c r="I199" s="11">
        <v>1850</v>
      </c>
    </row>
    <row r="200" spans="2:9" ht="14.5" customHeight="1">
      <c r="D200" s="11">
        <v>612</v>
      </c>
      <c r="F200" s="11" t="s">
        <v>847</v>
      </c>
      <c r="I200" s="11">
        <v>1850</v>
      </c>
    </row>
    <row r="201" spans="2:9" ht="14.5" customHeight="1">
      <c r="D201" s="11">
        <v>607</v>
      </c>
      <c r="F201" s="11" t="s">
        <v>848</v>
      </c>
      <c r="I201" s="11">
        <v>1850</v>
      </c>
    </row>
    <row r="202" spans="2:9" ht="14.5" customHeight="1">
      <c r="D202" s="11">
        <v>618</v>
      </c>
      <c r="F202" s="11" t="s">
        <v>849</v>
      </c>
      <c r="I202" s="11">
        <v>1850</v>
      </c>
    </row>
    <row r="203" spans="2:9" ht="14.5" customHeight="1">
      <c r="D203" s="11">
        <v>621</v>
      </c>
      <c r="F203" s="11" t="s">
        <v>824</v>
      </c>
      <c r="I203" s="11">
        <v>1850</v>
      </c>
    </row>
    <row r="204" spans="2:9" ht="14.5" customHeight="1">
      <c r="D204" s="11">
        <v>602</v>
      </c>
      <c r="F204" s="11" t="s">
        <v>850</v>
      </c>
      <c r="I204" s="11">
        <v>1850</v>
      </c>
    </row>
    <row r="205" spans="2:9" ht="14.5" customHeight="1">
      <c r="D205" s="11">
        <v>618</v>
      </c>
      <c r="F205" s="11" t="s">
        <v>851</v>
      </c>
      <c r="I205" s="11">
        <v>1850</v>
      </c>
    </row>
    <row r="206" spans="2:9" ht="14.5" customHeight="1">
      <c r="D206" s="11">
        <v>608</v>
      </c>
      <c r="F206" s="11" t="s">
        <v>852</v>
      </c>
      <c r="I206" s="11">
        <v>1850</v>
      </c>
    </row>
    <row r="207" spans="2:9" ht="14.5" customHeight="1">
      <c r="D207" s="11">
        <v>121</v>
      </c>
      <c r="F207" s="11" t="s">
        <v>828</v>
      </c>
      <c r="I207" s="11">
        <v>1834</v>
      </c>
    </row>
    <row r="208" spans="2:9" ht="14.5" customHeight="1">
      <c r="D208" s="11" t="s">
        <v>853</v>
      </c>
      <c r="F208" s="11" t="s">
        <v>792</v>
      </c>
      <c r="I208" s="11">
        <v>1858</v>
      </c>
    </row>
    <row r="209" spans="2:9" ht="14.5" customHeight="1">
      <c r="D209" s="11" t="s">
        <v>854</v>
      </c>
      <c r="F209" s="11" t="s">
        <v>795</v>
      </c>
      <c r="I209" s="11">
        <v>1858</v>
      </c>
    </row>
    <row r="210" spans="2:9" ht="14.5" customHeight="1">
      <c r="D210" s="11">
        <v>963</v>
      </c>
      <c r="F210" s="11" t="s">
        <v>831</v>
      </c>
      <c r="I210" s="11">
        <v>1858</v>
      </c>
    </row>
    <row r="211" spans="2:9" ht="14.5" customHeight="1">
      <c r="D211" s="11">
        <v>969</v>
      </c>
      <c r="F211" s="11" t="s">
        <v>832</v>
      </c>
      <c r="I211" s="11">
        <v>1858</v>
      </c>
    </row>
    <row r="212" spans="2:9" ht="14.5" customHeight="1">
      <c r="D212" s="11">
        <v>963</v>
      </c>
      <c r="F212" s="11" t="s">
        <v>834</v>
      </c>
      <c r="I212" s="11">
        <v>1858</v>
      </c>
    </row>
    <row r="213" spans="2:9" ht="14.5" customHeight="1">
      <c r="B213" s="18"/>
      <c r="C213" s="18"/>
      <c r="D213" s="18" t="s">
        <v>855</v>
      </c>
      <c r="F213" s="18" t="s">
        <v>796</v>
      </c>
      <c r="G213" s="18"/>
      <c r="H213" s="18"/>
      <c r="I213" s="18">
        <v>1858</v>
      </c>
    </row>
    <row r="214" spans="2:9" ht="14.5" customHeight="1">
      <c r="B214" s="18"/>
      <c r="C214" s="18"/>
      <c r="D214" s="18" t="s">
        <v>856</v>
      </c>
      <c r="F214" s="18" t="s">
        <v>802</v>
      </c>
      <c r="G214" s="18"/>
      <c r="H214" s="18"/>
      <c r="I214" s="18">
        <v>1858</v>
      </c>
    </row>
    <row r="215" spans="2:9" ht="14.5" customHeight="1">
      <c r="D215" s="11" t="s">
        <v>857</v>
      </c>
      <c r="F215" s="11" t="s">
        <v>838</v>
      </c>
      <c r="I215" s="11">
        <v>1858</v>
      </c>
    </row>
    <row r="216" spans="2:9" ht="14.5" customHeight="1">
      <c r="D216" s="11" t="s">
        <v>858</v>
      </c>
      <c r="F216" s="11" t="s">
        <v>817</v>
      </c>
      <c r="I216" s="11">
        <v>1858</v>
      </c>
    </row>
    <row r="217" spans="2:9" ht="14.5" customHeight="1">
      <c r="B217" s="18"/>
      <c r="C217" s="18"/>
      <c r="D217" s="18" t="s">
        <v>859</v>
      </c>
      <c r="F217" s="18" t="s">
        <v>797</v>
      </c>
      <c r="G217" s="18"/>
      <c r="H217" s="18"/>
      <c r="I217" s="18">
        <v>1858</v>
      </c>
    </row>
    <row r="218" spans="2:9" ht="14.5" customHeight="1">
      <c r="D218" s="11" t="s">
        <v>860</v>
      </c>
      <c r="F218" s="11" t="s">
        <v>809</v>
      </c>
      <c r="I218" s="11">
        <v>1858</v>
      </c>
    </row>
    <row r="219" spans="2:9" ht="14.5" customHeight="1">
      <c r="B219" s="18"/>
      <c r="C219" s="18"/>
      <c r="D219" s="18" t="s">
        <v>861</v>
      </c>
      <c r="F219" s="18" t="s">
        <v>791</v>
      </c>
      <c r="G219" s="18"/>
      <c r="H219" s="18"/>
      <c r="I219" s="18">
        <v>1858</v>
      </c>
    </row>
    <row r="220" spans="2:9" ht="14.5" customHeight="1">
      <c r="D220" s="11" t="s">
        <v>862</v>
      </c>
      <c r="F220" s="11" t="s">
        <v>810</v>
      </c>
      <c r="I220" s="11">
        <v>1858</v>
      </c>
    </row>
    <row r="221" spans="2:9" ht="14.5" customHeight="1">
      <c r="D221" s="11">
        <v>962</v>
      </c>
      <c r="F221" s="11" t="s">
        <v>823</v>
      </c>
      <c r="I221" s="11">
        <v>1858</v>
      </c>
    </row>
    <row r="222" spans="2:9" ht="14.5" customHeight="1">
      <c r="D222" s="11">
        <v>962</v>
      </c>
      <c r="F222" s="11" t="s">
        <v>847</v>
      </c>
      <c r="I222" s="11">
        <v>1858</v>
      </c>
    </row>
    <row r="223" spans="2:9" ht="14.5" customHeight="1">
      <c r="D223" s="11">
        <v>962</v>
      </c>
      <c r="F223" s="11" t="s">
        <v>863</v>
      </c>
      <c r="I223" s="11">
        <v>1858</v>
      </c>
    </row>
    <row r="224" spans="2:9" ht="14.5" customHeight="1">
      <c r="D224" s="11">
        <v>961</v>
      </c>
      <c r="F224" s="11" t="s">
        <v>824</v>
      </c>
      <c r="I224" s="11">
        <v>1858</v>
      </c>
    </row>
    <row r="225" spans="4:9" ht="14.5" customHeight="1">
      <c r="D225" s="11" t="s">
        <v>865</v>
      </c>
      <c r="F225" s="11" t="s">
        <v>864</v>
      </c>
      <c r="I225" s="11">
        <v>1858</v>
      </c>
    </row>
    <row r="226" spans="4:9" ht="14.5" customHeight="1">
      <c r="D226" s="11" t="s">
        <v>866</v>
      </c>
      <c r="F226" s="11" t="s">
        <v>850</v>
      </c>
      <c r="I226" s="11">
        <v>1858</v>
      </c>
    </row>
    <row r="228" spans="4:9" ht="14.5" customHeight="1">
      <c r="F228" s="19" t="s">
        <v>1159</v>
      </c>
    </row>
    <row r="229" spans="4:9" ht="14.5" customHeight="1">
      <c r="F229" s="11" t="s">
        <v>1160</v>
      </c>
    </row>
    <row r="230" spans="4:9" ht="14.5" customHeight="1">
      <c r="F230" s="11" t="s">
        <v>1161</v>
      </c>
    </row>
    <row r="231" spans="4:9" ht="14.5" customHeight="1">
      <c r="F231" s="11" t="s">
        <v>1162</v>
      </c>
    </row>
    <row r="232" spans="4:9" ht="14.5" customHeight="1">
      <c r="F232" s="11" t="s">
        <v>1163</v>
      </c>
    </row>
    <row r="233" spans="4:9" ht="14.5" customHeight="1">
      <c r="F233" s="11" t="s">
        <v>1164</v>
      </c>
    </row>
    <row r="234" spans="4:9" ht="14.5" customHeight="1">
      <c r="F234" s="11" t="s">
        <v>1165</v>
      </c>
    </row>
    <row r="235" spans="4:9" ht="14.5" customHeight="1">
      <c r="F235" s="11" t="s">
        <v>1166</v>
      </c>
    </row>
    <row r="236" spans="4:9" ht="14.5" customHeight="1">
      <c r="F236" s="11" t="s">
        <v>1167</v>
      </c>
    </row>
    <row r="237" spans="4:9" ht="14.5" customHeight="1">
      <c r="F237" s="11" t="s">
        <v>1168</v>
      </c>
    </row>
    <row r="238" spans="4:9" ht="14.5" customHeight="1">
      <c r="F238" s="11" t="s">
        <v>1169</v>
      </c>
    </row>
    <row r="239" spans="4:9" ht="14.5" customHeight="1">
      <c r="F239" s="11" t="s">
        <v>1170</v>
      </c>
    </row>
    <row r="240" spans="4:9" ht="14.5" customHeight="1">
      <c r="F240" s="11" t="s">
        <v>1171</v>
      </c>
    </row>
    <row r="241" spans="6:6" ht="14.5" customHeight="1">
      <c r="F241" s="11" t="s">
        <v>1172</v>
      </c>
    </row>
    <row r="242" spans="6:6" ht="14.5" customHeight="1">
      <c r="F242" s="11" t="s">
        <v>1173</v>
      </c>
    </row>
    <row r="243" spans="6:6" ht="14.5" customHeight="1">
      <c r="F243" s="11" t="s">
        <v>1174</v>
      </c>
    </row>
    <row r="244" spans="6:6" ht="14.5" customHeight="1">
      <c r="F244" s="11" t="s">
        <v>1175</v>
      </c>
    </row>
    <row r="245" spans="6:6" ht="14.5" customHeight="1">
      <c r="F245" s="11" t="s">
        <v>1176</v>
      </c>
    </row>
    <row r="246" spans="6:6" ht="14.5" customHeight="1">
      <c r="F246" s="11" t="s">
        <v>1177</v>
      </c>
    </row>
    <row r="247" spans="6:6" ht="14.5" customHeight="1">
      <c r="F247" s="11" t="s">
        <v>1178</v>
      </c>
    </row>
    <row r="248" spans="6:6" ht="14.5" customHeight="1">
      <c r="F248" s="11" t="s">
        <v>1179</v>
      </c>
    </row>
    <row r="249" spans="6:6" ht="14.5" customHeight="1">
      <c r="F249" s="11" t="s">
        <v>1180</v>
      </c>
    </row>
    <row r="251" spans="6:6" ht="14.5" customHeight="1">
      <c r="F251" s="19" t="s">
        <v>1189</v>
      </c>
    </row>
    <row r="252" spans="6:6" ht="14.5" customHeight="1">
      <c r="F252" s="11" t="s">
        <v>1181</v>
      </c>
    </row>
    <row r="253" spans="6:6" ht="14.5" customHeight="1">
      <c r="F253" s="11" t="s">
        <v>1182</v>
      </c>
    </row>
    <row r="254" spans="6:6" ht="14.5" customHeight="1">
      <c r="F254" s="11" t="s">
        <v>1183</v>
      </c>
    </row>
    <row r="255" spans="6:6" ht="14.5" customHeight="1">
      <c r="F255" s="11" t="s">
        <v>1184</v>
      </c>
    </row>
    <row r="256" spans="6:6" ht="14.5" customHeight="1">
      <c r="F256" s="11" t="s">
        <v>1185</v>
      </c>
    </row>
    <row r="257" spans="1:13" ht="14.5" customHeight="1">
      <c r="F257" s="11" t="s">
        <v>1186</v>
      </c>
    </row>
    <row r="258" spans="1:13" ht="14.5" customHeight="1">
      <c r="F258" s="11" t="s">
        <v>1187</v>
      </c>
    </row>
    <row r="259" spans="1:13" ht="14.5" customHeight="1">
      <c r="F259" s="11" t="s">
        <v>1188</v>
      </c>
    </row>
    <row r="263" spans="1:13" ht="14.5" customHeight="1">
      <c r="E263" s="32" t="s">
        <v>105</v>
      </c>
    </row>
    <row r="264" spans="1:13" ht="14.5" customHeight="1">
      <c r="E264" s="32" t="s">
        <v>105</v>
      </c>
    </row>
    <row r="265" spans="1:13" s="13" customFormat="1" ht="14.5" customHeight="1">
      <c r="A265" s="12" t="s">
        <v>705</v>
      </c>
      <c r="E265" s="33" t="s">
        <v>105</v>
      </c>
      <c r="J265" s="53"/>
      <c r="K265" s="57"/>
      <c r="L265" s="38"/>
    </row>
    <row r="266" spans="1:13" ht="14.5" customHeight="1">
      <c r="B266" s="10" t="s">
        <v>594</v>
      </c>
      <c r="C266" s="10" t="s">
        <v>553</v>
      </c>
      <c r="D266" s="10" t="s">
        <v>595</v>
      </c>
      <c r="E266" s="32" t="s">
        <v>38</v>
      </c>
      <c r="F266" s="10" t="s">
        <v>592</v>
      </c>
      <c r="G266" s="10" t="s">
        <v>596</v>
      </c>
      <c r="H266" s="10" t="s">
        <v>1309</v>
      </c>
      <c r="I266" s="10" t="s">
        <v>593</v>
      </c>
      <c r="L266" s="37" t="s">
        <v>8</v>
      </c>
    </row>
    <row r="267" spans="1:13" ht="14.5" customHeight="1">
      <c r="B267" s="10" t="s">
        <v>598</v>
      </c>
      <c r="C267" s="10" t="s">
        <v>599</v>
      </c>
      <c r="D267" s="10" t="s">
        <v>600</v>
      </c>
      <c r="E267" s="32" t="s">
        <v>38</v>
      </c>
      <c r="F267" s="10" t="s">
        <v>592</v>
      </c>
      <c r="G267" s="10" t="s">
        <v>596</v>
      </c>
      <c r="H267" s="10" t="s">
        <v>1310</v>
      </c>
      <c r="I267" s="10" t="s">
        <v>597</v>
      </c>
      <c r="L267" s="37" t="s">
        <v>8</v>
      </c>
    </row>
    <row r="268" spans="1:13" ht="14.5" customHeight="1">
      <c r="B268" s="10"/>
      <c r="C268" s="10"/>
      <c r="D268" s="10"/>
      <c r="F268" s="10"/>
      <c r="G268" s="10"/>
      <c r="H268" s="10"/>
      <c r="I268" s="10"/>
    </row>
    <row r="269" spans="1:13" s="10" customFormat="1" ht="14.5" customHeight="1">
      <c r="B269" s="10" t="s">
        <v>586</v>
      </c>
      <c r="C269" s="10" t="s">
        <v>605</v>
      </c>
      <c r="D269" s="10" t="s">
        <v>709</v>
      </c>
      <c r="E269" s="32" t="s">
        <v>38</v>
      </c>
      <c r="F269" s="10" t="s">
        <v>711</v>
      </c>
      <c r="G269" s="10" t="s">
        <v>708</v>
      </c>
      <c r="I269" s="10" t="s">
        <v>684</v>
      </c>
      <c r="J269" s="19"/>
      <c r="K269" s="56"/>
      <c r="L269" s="37"/>
      <c r="M269" s="10" t="s">
        <v>710</v>
      </c>
    </row>
    <row r="270" spans="1:13" s="10" customFormat="1" ht="14.5" customHeight="1">
      <c r="B270" s="10" t="s">
        <v>586</v>
      </c>
      <c r="C270" s="10" t="s">
        <v>605</v>
      </c>
      <c r="D270" s="10" t="s">
        <v>713</v>
      </c>
      <c r="E270" s="32" t="s">
        <v>38</v>
      </c>
      <c r="F270" s="10" t="s">
        <v>711</v>
      </c>
      <c r="G270" s="10" t="s">
        <v>708</v>
      </c>
      <c r="I270" s="10" t="s">
        <v>712</v>
      </c>
      <c r="J270" s="19"/>
      <c r="K270" s="56"/>
      <c r="L270" s="37"/>
      <c r="M270" s="10" t="s">
        <v>714</v>
      </c>
    </row>
    <row r="271" spans="1:13" s="10" customFormat="1" ht="14.5" customHeight="1">
      <c r="B271" s="10" t="s">
        <v>586</v>
      </c>
      <c r="C271" s="10" t="s">
        <v>553</v>
      </c>
      <c r="D271" s="10" t="s">
        <v>636</v>
      </c>
      <c r="E271" s="32" t="s">
        <v>38</v>
      </c>
      <c r="F271" s="10" t="s">
        <v>715</v>
      </c>
      <c r="G271" s="10" t="s">
        <v>708</v>
      </c>
      <c r="I271" s="10" t="s">
        <v>716</v>
      </c>
      <c r="J271" s="19"/>
      <c r="K271" s="56"/>
      <c r="L271" s="37"/>
      <c r="M271" s="10" t="s">
        <v>720</v>
      </c>
    </row>
    <row r="272" spans="1:13" s="10" customFormat="1" ht="14.5" customHeight="1">
      <c r="B272" s="10" t="s">
        <v>586</v>
      </c>
      <c r="C272" s="10" t="s">
        <v>553</v>
      </c>
      <c r="D272" s="10" t="s">
        <v>719</v>
      </c>
      <c r="E272" s="32" t="s">
        <v>38</v>
      </c>
      <c r="F272" s="10" t="s">
        <v>717</v>
      </c>
      <c r="G272" s="10" t="s">
        <v>708</v>
      </c>
      <c r="I272" s="10" t="s">
        <v>718</v>
      </c>
      <c r="J272" s="19"/>
      <c r="K272" s="56"/>
      <c r="L272" s="37"/>
    </row>
    <row r="273" spans="1:13" s="10" customFormat="1" ht="14.5" customHeight="1">
      <c r="B273" s="10" t="s">
        <v>586</v>
      </c>
      <c r="C273" s="10" t="s">
        <v>553</v>
      </c>
      <c r="D273" s="10" t="s">
        <v>722</v>
      </c>
      <c r="E273" s="32" t="s">
        <v>38</v>
      </c>
      <c r="F273" s="10" t="s">
        <v>721</v>
      </c>
      <c r="G273" s="10" t="s">
        <v>708</v>
      </c>
      <c r="I273" s="10" t="s">
        <v>665</v>
      </c>
      <c r="J273" s="19"/>
      <c r="K273" s="56"/>
      <c r="L273" s="37"/>
      <c r="M273" s="10" t="s">
        <v>723</v>
      </c>
    </row>
    <row r="274" spans="1:13" ht="14.5" customHeight="1">
      <c r="B274" s="10" t="s">
        <v>604</v>
      </c>
      <c r="C274" s="10" t="s">
        <v>605</v>
      </c>
      <c r="D274" s="10" t="s">
        <v>725</v>
      </c>
      <c r="E274" s="32" t="s">
        <v>38</v>
      </c>
      <c r="F274" s="10" t="s">
        <v>724</v>
      </c>
      <c r="G274" s="10" t="s">
        <v>760</v>
      </c>
      <c r="H274" s="10"/>
      <c r="I274" s="10" t="s">
        <v>746</v>
      </c>
      <c r="L274" s="37" t="s">
        <v>3</v>
      </c>
      <c r="M274" s="10" t="s">
        <v>726</v>
      </c>
    </row>
    <row r="275" spans="1:13" ht="14.5" customHeight="1">
      <c r="B275" s="10" t="s">
        <v>730</v>
      </c>
      <c r="C275" s="10" t="s">
        <v>605</v>
      </c>
      <c r="D275" s="10" t="s">
        <v>733</v>
      </c>
      <c r="E275" s="32" t="s">
        <v>38</v>
      </c>
      <c r="F275" s="10" t="s">
        <v>727</v>
      </c>
      <c r="G275" s="10" t="s">
        <v>731</v>
      </c>
      <c r="H275" s="10" t="s">
        <v>732</v>
      </c>
      <c r="I275" s="10" t="s">
        <v>728</v>
      </c>
      <c r="L275" s="37" t="s">
        <v>8</v>
      </c>
      <c r="M275" s="10" t="s">
        <v>729</v>
      </c>
    </row>
    <row r="276" spans="1:13" ht="14.5" customHeight="1">
      <c r="B276" s="10" t="s">
        <v>730</v>
      </c>
      <c r="C276" s="10" t="s">
        <v>605</v>
      </c>
      <c r="D276" s="10" t="s">
        <v>735</v>
      </c>
      <c r="E276" s="32" t="s">
        <v>38</v>
      </c>
      <c r="F276" s="10" t="s">
        <v>734</v>
      </c>
      <c r="G276" s="10" t="s">
        <v>731</v>
      </c>
      <c r="H276" s="10"/>
      <c r="I276" s="10" t="s">
        <v>747</v>
      </c>
      <c r="L276" s="37" t="s">
        <v>8</v>
      </c>
      <c r="M276" s="10" t="s">
        <v>736</v>
      </c>
    </row>
    <row r="277" spans="1:13" ht="14.5" customHeight="1">
      <c r="B277" s="10" t="s">
        <v>730</v>
      </c>
      <c r="C277" s="10" t="s">
        <v>605</v>
      </c>
      <c r="D277" s="10" t="s">
        <v>738</v>
      </c>
      <c r="E277" s="32" t="s">
        <v>38</v>
      </c>
      <c r="F277" s="10" t="s">
        <v>737</v>
      </c>
      <c r="G277" s="10" t="s">
        <v>731</v>
      </c>
      <c r="H277" s="10"/>
      <c r="I277" s="10" t="s">
        <v>748</v>
      </c>
      <c r="L277" s="37" t="s">
        <v>8</v>
      </c>
      <c r="M277" s="10" t="s">
        <v>739</v>
      </c>
    </row>
    <row r="278" spans="1:13" ht="14.5" customHeight="1">
      <c r="B278" s="10" t="s">
        <v>730</v>
      </c>
      <c r="C278" s="10" t="s">
        <v>605</v>
      </c>
      <c r="D278" s="10" t="s">
        <v>742</v>
      </c>
      <c r="E278" s="32" t="s">
        <v>38</v>
      </c>
      <c r="F278" s="10" t="s">
        <v>740</v>
      </c>
      <c r="G278" s="10" t="s">
        <v>731</v>
      </c>
      <c r="H278" s="10"/>
      <c r="I278" s="10" t="s">
        <v>750</v>
      </c>
      <c r="L278" s="37" t="s">
        <v>8</v>
      </c>
      <c r="M278" s="10" t="s">
        <v>743</v>
      </c>
    </row>
    <row r="279" spans="1:13" ht="14.5" customHeight="1">
      <c r="B279" s="10" t="s">
        <v>730</v>
      </c>
      <c r="C279" s="10" t="s">
        <v>605</v>
      </c>
      <c r="D279" s="10" t="s">
        <v>744</v>
      </c>
      <c r="E279" s="32" t="s">
        <v>38</v>
      </c>
      <c r="F279" s="10" t="s">
        <v>741</v>
      </c>
      <c r="G279" s="10" t="s">
        <v>731</v>
      </c>
      <c r="H279" s="10" t="s">
        <v>732</v>
      </c>
      <c r="I279" s="10" t="s">
        <v>749</v>
      </c>
      <c r="L279" s="37" t="s">
        <v>8</v>
      </c>
      <c r="M279" s="10" t="s">
        <v>745</v>
      </c>
    </row>
    <row r="280" spans="1:13" ht="14.5" customHeight="1">
      <c r="B280" s="10" t="s">
        <v>730</v>
      </c>
      <c r="C280" s="10" t="s">
        <v>605</v>
      </c>
      <c r="D280" s="10" t="s">
        <v>752</v>
      </c>
      <c r="E280" s="32" t="s">
        <v>38</v>
      </c>
      <c r="F280" s="10" t="s">
        <v>737</v>
      </c>
      <c r="G280" s="10" t="s">
        <v>731</v>
      </c>
      <c r="H280" s="10"/>
      <c r="I280" s="10" t="s">
        <v>751</v>
      </c>
      <c r="L280" s="37" t="s">
        <v>8</v>
      </c>
      <c r="M280" s="10" t="s">
        <v>753</v>
      </c>
    </row>
    <row r="281" spans="1:13" ht="14.5" customHeight="1">
      <c r="B281" s="10" t="s">
        <v>730</v>
      </c>
      <c r="C281" s="10" t="s">
        <v>604</v>
      </c>
      <c r="D281" s="10" t="s">
        <v>755</v>
      </c>
      <c r="E281" s="32" t="s">
        <v>38</v>
      </c>
      <c r="F281" s="10" t="s">
        <v>754</v>
      </c>
      <c r="G281" s="10" t="s">
        <v>731</v>
      </c>
      <c r="H281" s="10"/>
      <c r="I281" s="10" t="s">
        <v>756</v>
      </c>
      <c r="L281" s="37" t="s">
        <v>8</v>
      </c>
      <c r="M281" s="10"/>
    </row>
    <row r="282" spans="1:13" ht="14.5" customHeight="1">
      <c r="B282" s="10" t="s">
        <v>730</v>
      </c>
      <c r="C282" s="10" t="s">
        <v>604</v>
      </c>
      <c r="D282" s="10" t="s">
        <v>759</v>
      </c>
      <c r="E282" s="32" t="s">
        <v>38</v>
      </c>
      <c r="F282" s="10" t="s">
        <v>757</v>
      </c>
      <c r="G282" s="10" t="s">
        <v>731</v>
      </c>
      <c r="H282" s="10"/>
      <c r="I282" s="10" t="s">
        <v>758</v>
      </c>
      <c r="L282" s="37" t="s">
        <v>8</v>
      </c>
      <c r="M282" s="10"/>
    </row>
    <row r="283" spans="1:13" ht="14.5" customHeight="1">
      <c r="B283" s="10">
        <v>3</v>
      </c>
      <c r="C283" s="10">
        <v>2</v>
      </c>
      <c r="D283" s="10" t="s">
        <v>764</v>
      </c>
      <c r="E283" s="32" t="s">
        <v>38</v>
      </c>
      <c r="F283" s="10" t="s">
        <v>761</v>
      </c>
      <c r="G283" s="10" t="s">
        <v>762</v>
      </c>
      <c r="H283" s="10"/>
      <c r="I283" s="10" t="s">
        <v>763</v>
      </c>
      <c r="L283" s="37" t="s">
        <v>8</v>
      </c>
      <c r="M283" s="10" t="s">
        <v>765</v>
      </c>
    </row>
    <row r="284" spans="1:13" ht="14.5" customHeight="1">
      <c r="B284" s="10"/>
      <c r="C284" s="10"/>
      <c r="D284" s="10"/>
      <c r="F284" s="10"/>
      <c r="G284" s="10"/>
      <c r="H284" s="10"/>
      <c r="I284" s="10"/>
      <c r="M284" s="10"/>
    </row>
    <row r="285" spans="1:13" ht="14.5" customHeight="1">
      <c r="B285" s="10"/>
      <c r="C285" s="10"/>
      <c r="D285" s="10"/>
      <c r="F285" s="10"/>
      <c r="G285" s="10"/>
      <c r="H285" s="10"/>
      <c r="I285" s="10"/>
      <c r="M285" s="10"/>
    </row>
    <row r="286" spans="1:13" s="13" customFormat="1" ht="14.5" customHeight="1">
      <c r="A286" s="12" t="s">
        <v>704</v>
      </c>
      <c r="B286" s="12"/>
      <c r="C286" s="12"/>
      <c r="D286" s="12"/>
      <c r="E286" s="33"/>
      <c r="F286" s="12"/>
      <c r="G286" s="12"/>
      <c r="H286" s="12"/>
      <c r="I286" s="12"/>
      <c r="J286" s="53"/>
      <c r="K286" s="57"/>
      <c r="L286" s="38"/>
    </row>
    <row r="287" spans="1:13" ht="14.5" customHeight="1">
      <c r="B287" s="10" t="s">
        <v>603</v>
      </c>
      <c r="C287" s="10" t="s">
        <v>605</v>
      </c>
      <c r="D287" s="10" t="s">
        <v>622</v>
      </c>
      <c r="E287" s="32" t="s">
        <v>105</v>
      </c>
      <c r="F287" s="10" t="s">
        <v>602</v>
      </c>
      <c r="G287" s="10" t="s">
        <v>647</v>
      </c>
      <c r="H287" s="10" t="s">
        <v>590</v>
      </c>
      <c r="I287" s="10" t="s">
        <v>601</v>
      </c>
      <c r="L287" s="37" t="s">
        <v>11</v>
      </c>
    </row>
    <row r="288" spans="1:13" ht="14.5" customHeight="1">
      <c r="B288" s="10" t="s">
        <v>603</v>
      </c>
      <c r="C288" s="10" t="s">
        <v>604</v>
      </c>
      <c r="D288" s="10" t="s">
        <v>623</v>
      </c>
      <c r="E288" s="32" t="s">
        <v>105</v>
      </c>
      <c r="F288" s="10" t="s">
        <v>602</v>
      </c>
      <c r="G288" s="10" t="s">
        <v>647</v>
      </c>
      <c r="H288" s="10" t="s">
        <v>590</v>
      </c>
      <c r="I288" s="10" t="s">
        <v>601</v>
      </c>
      <c r="L288" s="37" t="s">
        <v>11</v>
      </c>
    </row>
    <row r="289" spans="2:12" ht="14.5" customHeight="1">
      <c r="B289" s="10" t="s">
        <v>605</v>
      </c>
      <c r="C289" s="10" t="s">
        <v>605</v>
      </c>
      <c r="D289" s="10" t="s">
        <v>624</v>
      </c>
      <c r="E289" s="32" t="s">
        <v>105</v>
      </c>
      <c r="F289" s="10" t="s">
        <v>606</v>
      </c>
      <c r="G289" s="10" t="s">
        <v>607</v>
      </c>
      <c r="I289" s="10" t="s">
        <v>620</v>
      </c>
      <c r="L289" s="37" t="s">
        <v>11</v>
      </c>
    </row>
    <row r="290" spans="2:12" ht="14.5" customHeight="1">
      <c r="B290" s="10" t="s">
        <v>605</v>
      </c>
      <c r="C290" s="10" t="s">
        <v>553</v>
      </c>
      <c r="D290" s="10" t="s">
        <v>625</v>
      </c>
      <c r="E290" s="32" t="s">
        <v>105</v>
      </c>
      <c r="F290" s="10" t="s">
        <v>606</v>
      </c>
      <c r="G290" s="10" t="s">
        <v>607</v>
      </c>
      <c r="I290" s="10" t="s">
        <v>620</v>
      </c>
      <c r="L290" s="37" t="s">
        <v>11</v>
      </c>
    </row>
    <row r="291" spans="2:12" ht="14.5" customHeight="1">
      <c r="B291" s="10" t="s">
        <v>605</v>
      </c>
      <c r="C291" s="10" t="s">
        <v>599</v>
      </c>
      <c r="D291" s="10" t="s">
        <v>608</v>
      </c>
      <c r="E291" s="32" t="s">
        <v>105</v>
      </c>
      <c r="F291" s="10" t="s">
        <v>606</v>
      </c>
      <c r="G291" s="10" t="s">
        <v>607</v>
      </c>
      <c r="I291" s="10" t="s">
        <v>620</v>
      </c>
      <c r="L291" s="37" t="s">
        <v>11</v>
      </c>
    </row>
    <row r="292" spans="2:12" ht="14.5" customHeight="1">
      <c r="B292" s="10" t="s">
        <v>587</v>
      </c>
      <c r="C292" s="10" t="s">
        <v>605</v>
      </c>
      <c r="D292" s="10" t="s">
        <v>626</v>
      </c>
      <c r="E292" s="32" t="s">
        <v>105</v>
      </c>
      <c r="F292" s="10" t="s">
        <v>609</v>
      </c>
      <c r="G292" s="10" t="s">
        <v>607</v>
      </c>
      <c r="I292" s="11" t="s">
        <v>621</v>
      </c>
      <c r="L292" s="37" t="s">
        <v>11</v>
      </c>
    </row>
    <row r="293" spans="2:12" ht="14.5" customHeight="1">
      <c r="B293" s="10" t="s">
        <v>587</v>
      </c>
      <c r="C293" s="10" t="s">
        <v>553</v>
      </c>
      <c r="D293" s="10" t="s">
        <v>610</v>
      </c>
      <c r="E293" s="32" t="s">
        <v>105</v>
      </c>
      <c r="F293" s="10" t="s">
        <v>609</v>
      </c>
      <c r="G293" s="10" t="s">
        <v>607</v>
      </c>
      <c r="I293" s="11" t="s">
        <v>621</v>
      </c>
      <c r="L293" s="37" t="s">
        <v>11</v>
      </c>
    </row>
    <row r="294" spans="2:12" ht="14.5" customHeight="1">
      <c r="B294" s="10" t="s">
        <v>587</v>
      </c>
      <c r="C294" s="10" t="s">
        <v>599</v>
      </c>
      <c r="D294" s="10" t="s">
        <v>611</v>
      </c>
      <c r="E294" s="32" t="s">
        <v>105</v>
      </c>
      <c r="F294" s="10" t="s">
        <v>609</v>
      </c>
      <c r="G294" s="10" t="s">
        <v>607</v>
      </c>
      <c r="I294" s="11" t="s">
        <v>621</v>
      </c>
      <c r="L294" s="37" t="s">
        <v>11</v>
      </c>
    </row>
    <row r="295" spans="2:12" ht="14.5" customHeight="1">
      <c r="B295" s="10" t="s">
        <v>587</v>
      </c>
      <c r="C295" s="10" t="s">
        <v>605</v>
      </c>
      <c r="D295" s="10" t="s">
        <v>614</v>
      </c>
      <c r="E295" s="32" t="s">
        <v>105</v>
      </c>
      <c r="F295" s="10" t="s">
        <v>612</v>
      </c>
      <c r="G295" s="10" t="s">
        <v>607</v>
      </c>
      <c r="I295" s="10" t="s">
        <v>613</v>
      </c>
      <c r="L295" s="37" t="s">
        <v>11</v>
      </c>
    </row>
    <row r="296" spans="2:12" ht="14.5" customHeight="1">
      <c r="B296" s="10" t="s">
        <v>616</v>
      </c>
      <c r="C296" s="10" t="s">
        <v>605</v>
      </c>
      <c r="D296" s="10" t="s">
        <v>627</v>
      </c>
      <c r="E296" s="32" t="s">
        <v>105</v>
      </c>
      <c r="F296" s="10" t="s">
        <v>615</v>
      </c>
      <c r="G296" s="10" t="s">
        <v>607</v>
      </c>
      <c r="I296" s="10" t="s">
        <v>619</v>
      </c>
      <c r="L296" s="37" t="s">
        <v>11</v>
      </c>
    </row>
    <row r="297" spans="2:12" ht="14.5" customHeight="1">
      <c r="B297" s="10" t="s">
        <v>616</v>
      </c>
      <c r="C297" s="10" t="s">
        <v>599</v>
      </c>
      <c r="D297" s="10" t="s">
        <v>617</v>
      </c>
      <c r="E297" s="32" t="s">
        <v>105</v>
      </c>
      <c r="F297" s="10" t="s">
        <v>615</v>
      </c>
      <c r="G297" s="10" t="s">
        <v>607</v>
      </c>
      <c r="I297" s="10" t="s">
        <v>619</v>
      </c>
      <c r="L297" s="37" t="s">
        <v>11</v>
      </c>
    </row>
    <row r="298" spans="2:12" ht="14.5" customHeight="1">
      <c r="B298" s="10" t="s">
        <v>605</v>
      </c>
      <c r="C298" s="10" t="s">
        <v>604</v>
      </c>
      <c r="D298" s="10" t="s">
        <v>629</v>
      </c>
      <c r="E298" s="32" t="s">
        <v>105</v>
      </c>
      <c r="F298" s="10" t="s">
        <v>618</v>
      </c>
      <c r="G298" s="10" t="s">
        <v>607</v>
      </c>
      <c r="I298" s="10" t="s">
        <v>628</v>
      </c>
      <c r="L298" s="37" t="s">
        <v>11</v>
      </c>
    </row>
    <row r="299" spans="2:12" ht="14.5" customHeight="1">
      <c r="B299" s="10" t="s">
        <v>603</v>
      </c>
      <c r="C299" s="10" t="s">
        <v>605</v>
      </c>
      <c r="D299" s="10" t="s">
        <v>622</v>
      </c>
      <c r="E299" s="32" t="s">
        <v>105</v>
      </c>
      <c r="F299" s="10" t="s">
        <v>648</v>
      </c>
      <c r="G299" s="10" t="s">
        <v>607</v>
      </c>
      <c r="H299" s="10" t="s">
        <v>630</v>
      </c>
      <c r="I299" s="10" t="s">
        <v>670</v>
      </c>
      <c r="L299" s="37" t="s">
        <v>11</v>
      </c>
    </row>
    <row r="300" spans="2:12" ht="14.5" customHeight="1">
      <c r="B300" s="10" t="s">
        <v>603</v>
      </c>
      <c r="C300" s="10" t="s">
        <v>604</v>
      </c>
      <c r="D300" s="10" t="s">
        <v>623</v>
      </c>
      <c r="E300" s="32" t="s">
        <v>105</v>
      </c>
      <c r="F300" s="10" t="s">
        <v>648</v>
      </c>
      <c r="G300" s="10" t="s">
        <v>607</v>
      </c>
      <c r="H300" s="10" t="s">
        <v>630</v>
      </c>
      <c r="I300" s="10" t="s">
        <v>670</v>
      </c>
      <c r="L300" s="37" t="s">
        <v>11</v>
      </c>
    </row>
    <row r="301" spans="2:12" ht="14.5" customHeight="1">
      <c r="B301" s="10" t="s">
        <v>649</v>
      </c>
      <c r="C301" s="10" t="s">
        <v>553</v>
      </c>
      <c r="D301" s="10" t="s">
        <v>694</v>
      </c>
      <c r="E301" s="32" t="s">
        <v>105</v>
      </c>
      <c r="F301" s="10" t="s">
        <v>650</v>
      </c>
      <c r="G301" s="10" t="s">
        <v>607</v>
      </c>
      <c r="H301" s="10" t="s">
        <v>630</v>
      </c>
      <c r="I301" s="10" t="s">
        <v>670</v>
      </c>
      <c r="L301" s="37" t="s">
        <v>11</v>
      </c>
    </row>
    <row r="302" spans="2:12" ht="14.5" customHeight="1">
      <c r="B302" s="10" t="s">
        <v>634</v>
      </c>
      <c r="C302" s="10" t="s">
        <v>652</v>
      </c>
      <c r="D302" s="10" t="s">
        <v>672</v>
      </c>
      <c r="E302" s="32" t="s">
        <v>105</v>
      </c>
      <c r="F302" s="10" t="s">
        <v>651</v>
      </c>
      <c r="G302" s="10" t="s">
        <v>607</v>
      </c>
      <c r="H302" s="10" t="s">
        <v>630</v>
      </c>
      <c r="I302" s="10" t="s">
        <v>671</v>
      </c>
      <c r="L302" s="37" t="s">
        <v>11</v>
      </c>
    </row>
    <row r="303" spans="2:12" ht="14.5" customHeight="1">
      <c r="B303" s="10" t="s">
        <v>603</v>
      </c>
      <c r="C303" s="10" t="s">
        <v>605</v>
      </c>
      <c r="D303" s="10" t="s">
        <v>674</v>
      </c>
      <c r="E303" s="32" t="s">
        <v>105</v>
      </c>
      <c r="F303" s="10" t="s">
        <v>673</v>
      </c>
      <c r="G303" s="10" t="s">
        <v>607</v>
      </c>
      <c r="H303" s="10" t="s">
        <v>630</v>
      </c>
      <c r="I303" s="10" t="s">
        <v>620</v>
      </c>
      <c r="L303" s="37" t="s">
        <v>11</v>
      </c>
    </row>
    <row r="304" spans="2:12" ht="14.5" customHeight="1">
      <c r="B304" s="10" t="s">
        <v>634</v>
      </c>
      <c r="C304" s="10" t="s">
        <v>635</v>
      </c>
      <c r="D304" s="10" t="s">
        <v>676</v>
      </c>
      <c r="E304" s="32" t="s">
        <v>105</v>
      </c>
      <c r="F304" s="10" t="s">
        <v>650</v>
      </c>
      <c r="G304" s="10" t="s">
        <v>607</v>
      </c>
      <c r="H304" s="10" t="s">
        <v>630</v>
      </c>
      <c r="I304" s="10" t="s">
        <v>675</v>
      </c>
      <c r="L304" s="37" t="s">
        <v>11</v>
      </c>
    </row>
    <row r="305" spans="2:12" ht="14.5" customHeight="1">
      <c r="B305" s="10" t="s">
        <v>634</v>
      </c>
      <c r="C305" s="10" t="s">
        <v>652</v>
      </c>
      <c r="D305" s="10" t="s">
        <v>678</v>
      </c>
      <c r="E305" s="32" t="s">
        <v>105</v>
      </c>
      <c r="F305" s="10" t="s">
        <v>653</v>
      </c>
      <c r="G305" s="10" t="s">
        <v>607</v>
      </c>
      <c r="H305" s="10" t="s">
        <v>630</v>
      </c>
      <c r="I305" s="10" t="s">
        <v>677</v>
      </c>
      <c r="L305" s="37" t="s">
        <v>11</v>
      </c>
    </row>
    <row r="306" spans="2:12" ht="14.5" customHeight="1">
      <c r="B306" s="10" t="s">
        <v>634</v>
      </c>
      <c r="C306" s="10" t="s">
        <v>635</v>
      </c>
      <c r="D306" s="10" t="s">
        <v>654</v>
      </c>
      <c r="E306" s="32" t="s">
        <v>105</v>
      </c>
      <c r="F306" s="10" t="s">
        <v>653</v>
      </c>
      <c r="G306" s="10" t="s">
        <v>607</v>
      </c>
      <c r="H306" s="10" t="s">
        <v>630</v>
      </c>
      <c r="I306" s="10" t="s">
        <v>677</v>
      </c>
      <c r="L306" s="37" t="s">
        <v>11</v>
      </c>
    </row>
    <row r="307" spans="2:12" ht="14.5" customHeight="1">
      <c r="B307" s="10" t="s">
        <v>603</v>
      </c>
      <c r="C307" s="10" t="s">
        <v>605</v>
      </c>
      <c r="D307" s="10" t="s">
        <v>656</v>
      </c>
      <c r="E307" s="32" t="s">
        <v>105</v>
      </c>
      <c r="F307" s="10" t="s">
        <v>655</v>
      </c>
      <c r="G307" s="10" t="s">
        <v>607</v>
      </c>
      <c r="H307" s="10" t="s">
        <v>630</v>
      </c>
      <c r="I307" s="10" t="s">
        <v>679</v>
      </c>
      <c r="L307" s="37" t="s">
        <v>11</v>
      </c>
    </row>
    <row r="308" spans="2:12" ht="14.5" customHeight="1">
      <c r="B308" s="10" t="s">
        <v>603</v>
      </c>
      <c r="C308" s="10" t="s">
        <v>604</v>
      </c>
      <c r="D308" s="10" t="s">
        <v>680</v>
      </c>
      <c r="E308" s="32" t="s">
        <v>105</v>
      </c>
      <c r="F308" s="10" t="s">
        <v>655</v>
      </c>
      <c r="G308" s="10" t="s">
        <v>607</v>
      </c>
      <c r="H308" s="10" t="s">
        <v>630</v>
      </c>
      <c r="I308" s="10" t="s">
        <v>679</v>
      </c>
      <c r="L308" s="37" t="s">
        <v>11</v>
      </c>
    </row>
    <row r="309" spans="2:12" ht="14.5" customHeight="1">
      <c r="B309" s="10" t="s">
        <v>634</v>
      </c>
      <c r="C309" s="10" t="s">
        <v>652</v>
      </c>
      <c r="D309" s="10" t="s">
        <v>682</v>
      </c>
      <c r="E309" s="32" t="s">
        <v>105</v>
      </c>
      <c r="F309" s="10" t="s">
        <v>657</v>
      </c>
      <c r="G309" s="10" t="s">
        <v>607</v>
      </c>
      <c r="H309" s="10" t="s">
        <v>630</v>
      </c>
      <c r="I309" s="10" t="s">
        <v>681</v>
      </c>
      <c r="L309" s="37" t="s">
        <v>11</v>
      </c>
    </row>
    <row r="310" spans="2:12" ht="14.5" customHeight="1">
      <c r="B310" s="10" t="s">
        <v>634</v>
      </c>
      <c r="C310" s="10" t="s">
        <v>635</v>
      </c>
      <c r="D310" s="10" t="s">
        <v>683</v>
      </c>
      <c r="E310" s="32" t="s">
        <v>105</v>
      </c>
      <c r="F310" s="10" t="s">
        <v>657</v>
      </c>
      <c r="G310" s="10" t="s">
        <v>607</v>
      </c>
      <c r="H310" s="10" t="s">
        <v>630</v>
      </c>
      <c r="I310" s="10" t="s">
        <v>681</v>
      </c>
      <c r="L310" s="37" t="s">
        <v>11</v>
      </c>
    </row>
    <row r="311" spans="2:12" ht="14.5" customHeight="1">
      <c r="B311" s="10" t="s">
        <v>603</v>
      </c>
      <c r="C311" s="10" t="s">
        <v>604</v>
      </c>
      <c r="D311" s="10" t="s">
        <v>659</v>
      </c>
      <c r="E311" s="32" t="s">
        <v>105</v>
      </c>
      <c r="F311" s="10" t="s">
        <v>658</v>
      </c>
      <c r="G311" s="10" t="s">
        <v>607</v>
      </c>
      <c r="H311" s="10" t="s">
        <v>630</v>
      </c>
      <c r="I311" s="10" t="s">
        <v>684</v>
      </c>
      <c r="L311" s="37" t="s">
        <v>11</v>
      </c>
    </row>
    <row r="312" spans="2:12" ht="14.5" customHeight="1">
      <c r="B312" s="10" t="s">
        <v>661</v>
      </c>
      <c r="C312" s="10" t="s">
        <v>605</v>
      </c>
      <c r="D312" s="10" t="s">
        <v>686</v>
      </c>
      <c r="E312" s="32" t="s">
        <v>105</v>
      </c>
      <c r="F312" s="10" t="s">
        <v>660</v>
      </c>
      <c r="G312" s="10" t="s">
        <v>607</v>
      </c>
      <c r="H312" s="10" t="s">
        <v>630</v>
      </c>
      <c r="I312" s="10" t="s">
        <v>685</v>
      </c>
      <c r="L312" s="37" t="s">
        <v>11</v>
      </c>
    </row>
    <row r="313" spans="2:12" ht="14.5" customHeight="1">
      <c r="B313" s="10" t="s">
        <v>634</v>
      </c>
      <c r="C313" s="10" t="s">
        <v>635</v>
      </c>
      <c r="D313" s="10" t="s">
        <v>663</v>
      </c>
      <c r="E313" s="32" t="s">
        <v>105</v>
      </c>
      <c r="F313" s="10" t="s">
        <v>662</v>
      </c>
      <c r="G313" s="10" t="s">
        <v>607</v>
      </c>
      <c r="H313" s="10" t="s">
        <v>630</v>
      </c>
      <c r="I313" s="10" t="s">
        <v>687</v>
      </c>
      <c r="L313" s="37" t="s">
        <v>11</v>
      </c>
    </row>
    <row r="314" spans="2:12" ht="14.5" customHeight="1">
      <c r="B314" s="10" t="s">
        <v>603</v>
      </c>
      <c r="C314" s="10" t="s">
        <v>605</v>
      </c>
      <c r="D314" s="10" t="s">
        <v>666</v>
      </c>
      <c r="E314" s="32" t="s">
        <v>105</v>
      </c>
      <c r="F314" s="10" t="s">
        <v>664</v>
      </c>
      <c r="G314" s="10" t="s">
        <v>607</v>
      </c>
      <c r="H314" s="10" t="s">
        <v>630</v>
      </c>
      <c r="I314" s="10" t="s">
        <v>665</v>
      </c>
      <c r="L314" s="37" t="s">
        <v>11</v>
      </c>
    </row>
    <row r="315" spans="2:12" ht="14.5" customHeight="1">
      <c r="B315" s="10" t="s">
        <v>668</v>
      </c>
      <c r="C315" s="10" t="s">
        <v>605</v>
      </c>
      <c r="D315" s="10" t="s">
        <v>669</v>
      </c>
      <c r="E315" s="32" t="s">
        <v>105</v>
      </c>
      <c r="F315" s="10" t="s">
        <v>688</v>
      </c>
      <c r="G315" s="10" t="s">
        <v>607</v>
      </c>
      <c r="H315" s="10" t="s">
        <v>630</v>
      </c>
      <c r="I315" s="10" t="s">
        <v>667</v>
      </c>
      <c r="L315" s="37" t="s">
        <v>11</v>
      </c>
    </row>
    <row r="316" spans="2:12" ht="14.5" customHeight="1">
      <c r="B316" s="10" t="s">
        <v>603</v>
      </c>
      <c r="C316" s="10" t="s">
        <v>605</v>
      </c>
      <c r="D316" s="10" t="s">
        <v>631</v>
      </c>
      <c r="E316" s="32" t="s">
        <v>105</v>
      </c>
      <c r="F316" s="10" t="s">
        <v>689</v>
      </c>
      <c r="G316" s="10" t="s">
        <v>607</v>
      </c>
      <c r="H316" s="10" t="s">
        <v>1308</v>
      </c>
      <c r="I316" s="10" t="s">
        <v>690</v>
      </c>
      <c r="L316" s="37" t="s">
        <v>11</v>
      </c>
    </row>
    <row r="317" spans="2:12" ht="14.5" customHeight="1">
      <c r="B317" s="10" t="s">
        <v>634</v>
      </c>
      <c r="C317" s="10" t="s">
        <v>635</v>
      </c>
      <c r="D317" s="10" t="s">
        <v>636</v>
      </c>
      <c r="E317" s="32" t="s">
        <v>105</v>
      </c>
      <c r="F317" s="10" t="s">
        <v>632</v>
      </c>
      <c r="G317" s="10" t="s">
        <v>607</v>
      </c>
      <c r="H317" s="10" t="s">
        <v>1308</v>
      </c>
      <c r="I317" s="10" t="s">
        <v>633</v>
      </c>
      <c r="L317" s="37" t="s">
        <v>11</v>
      </c>
    </row>
    <row r="318" spans="2:12" ht="14.5" customHeight="1">
      <c r="B318" s="10" t="s">
        <v>634</v>
      </c>
      <c r="C318" s="10" t="s">
        <v>635</v>
      </c>
      <c r="D318" s="10" t="s">
        <v>638</v>
      </c>
      <c r="E318" s="32" t="s">
        <v>105</v>
      </c>
      <c r="F318" s="10" t="s">
        <v>637</v>
      </c>
      <c r="G318" s="10" t="s">
        <v>607</v>
      </c>
      <c r="H318" s="10" t="s">
        <v>1308</v>
      </c>
      <c r="I318" s="10" t="s">
        <v>633</v>
      </c>
      <c r="L318" s="37" t="s">
        <v>11</v>
      </c>
    </row>
    <row r="319" spans="2:12" ht="14.5" customHeight="1">
      <c r="B319" s="10" t="s">
        <v>603</v>
      </c>
      <c r="C319" s="10" t="s">
        <v>605</v>
      </c>
      <c r="D319" s="10" t="s">
        <v>639</v>
      </c>
      <c r="E319" s="32" t="s">
        <v>105</v>
      </c>
      <c r="F319" s="10" t="s">
        <v>640</v>
      </c>
      <c r="G319" s="10" t="s">
        <v>607</v>
      </c>
      <c r="H319" s="10" t="s">
        <v>1308</v>
      </c>
      <c r="I319" s="10" t="s">
        <v>691</v>
      </c>
      <c r="L319" s="37" t="s">
        <v>11</v>
      </c>
    </row>
    <row r="320" spans="2:12" ht="14.5" customHeight="1">
      <c r="B320" s="10" t="s">
        <v>603</v>
      </c>
      <c r="C320" s="10" t="s">
        <v>604</v>
      </c>
      <c r="D320" s="10" t="s">
        <v>692</v>
      </c>
      <c r="E320" s="32" t="s">
        <v>105</v>
      </c>
      <c r="F320" s="10" t="s">
        <v>640</v>
      </c>
      <c r="G320" s="10" t="s">
        <v>607</v>
      </c>
      <c r="H320" s="10" t="s">
        <v>1308</v>
      </c>
      <c r="I320" s="10" t="s">
        <v>691</v>
      </c>
      <c r="L320" s="37" t="s">
        <v>11</v>
      </c>
    </row>
    <row r="321" spans="2:12" ht="14.5" customHeight="1">
      <c r="B321" s="10" t="s">
        <v>603</v>
      </c>
      <c r="C321" s="10" t="s">
        <v>605</v>
      </c>
      <c r="D321" s="10" t="s">
        <v>693</v>
      </c>
      <c r="E321" s="32" t="s">
        <v>105</v>
      </c>
      <c r="F321" s="10" t="s">
        <v>641</v>
      </c>
      <c r="G321" s="10" t="s">
        <v>607</v>
      </c>
      <c r="H321" s="10" t="s">
        <v>1308</v>
      </c>
      <c r="I321" s="10" t="s">
        <v>642</v>
      </c>
      <c r="L321" s="37" t="s">
        <v>11</v>
      </c>
    </row>
    <row r="322" spans="2:12" ht="14.5" customHeight="1">
      <c r="B322" s="10" t="s">
        <v>645</v>
      </c>
      <c r="C322" s="10" t="s">
        <v>605</v>
      </c>
      <c r="D322" s="10" t="s">
        <v>646</v>
      </c>
      <c r="E322" s="32" t="s">
        <v>105</v>
      </c>
      <c r="F322" s="10" t="s">
        <v>643</v>
      </c>
      <c r="G322" s="10" t="s">
        <v>607</v>
      </c>
      <c r="H322" s="10" t="s">
        <v>1308</v>
      </c>
      <c r="I322" s="10" t="s">
        <v>644</v>
      </c>
      <c r="L322" s="37" t="s">
        <v>11</v>
      </c>
    </row>
    <row r="323" spans="2:12" ht="14.5" customHeight="1">
      <c r="E323" s="32" t="s">
        <v>105</v>
      </c>
    </row>
    <row r="324" spans="2:12" ht="14.5" customHeight="1">
      <c r="E324" s="32" t="s">
        <v>105</v>
      </c>
    </row>
    <row r="325" spans="2:12" ht="14.5" customHeight="1">
      <c r="E325" s="32" t="s">
        <v>105</v>
      </c>
    </row>
    <row r="326" spans="2:12" ht="14.5" customHeight="1">
      <c r="E326" s="32" t="s">
        <v>105</v>
      </c>
    </row>
    <row r="327" spans="2:12" ht="14.5" customHeight="1">
      <c r="E327" s="32" t="s">
        <v>105</v>
      </c>
    </row>
    <row r="328" spans="2:12" ht="14.5" customHeight="1">
      <c r="E328" s="32" t="s">
        <v>105</v>
      </c>
    </row>
    <row r="329" spans="2:12" ht="14.5" customHeight="1">
      <c r="E329" s="32" t="s">
        <v>105</v>
      </c>
    </row>
    <row r="330" spans="2:12" ht="14.5" customHeight="1">
      <c r="E330" s="32" t="s">
        <v>105</v>
      </c>
    </row>
    <row r="331" spans="2:12" ht="14.5" customHeight="1">
      <c r="E331" s="32" t="s">
        <v>105</v>
      </c>
    </row>
    <row r="332" spans="2:12" ht="14.5" customHeight="1">
      <c r="E332" s="32" t="s">
        <v>105</v>
      </c>
    </row>
    <row r="333" spans="2:12" ht="14.5" customHeight="1">
      <c r="E333" s="32" t="s">
        <v>105</v>
      </c>
    </row>
    <row r="334" spans="2:12" ht="14.5" customHeight="1">
      <c r="E334" s="32" t="s">
        <v>105</v>
      </c>
    </row>
    <row r="335" spans="2:12" ht="14.5" customHeight="1">
      <c r="E335" s="32" t="s">
        <v>105</v>
      </c>
    </row>
    <row r="336" spans="2:12" ht="14.5" customHeight="1">
      <c r="E336" s="32" t="s">
        <v>105</v>
      </c>
    </row>
    <row r="337" spans="5:5" ht="14.5" customHeight="1">
      <c r="E337" s="32" t="s">
        <v>105</v>
      </c>
    </row>
    <row r="338" spans="5:5" ht="14.5" customHeight="1">
      <c r="E338" s="32" t="s">
        <v>105</v>
      </c>
    </row>
    <row r="339" spans="5:5" ht="14.5" customHeight="1">
      <c r="E339" s="32" t="s">
        <v>105</v>
      </c>
    </row>
    <row r="340" spans="5:5" ht="14.5" customHeight="1">
      <c r="E340" s="32" t="s">
        <v>105</v>
      </c>
    </row>
    <row r="341" spans="5:5" ht="14.5" customHeight="1">
      <c r="E341" s="32" t="s">
        <v>105</v>
      </c>
    </row>
    <row r="342" spans="5:5" ht="14.5" customHeight="1">
      <c r="E342" s="32" t="s">
        <v>105</v>
      </c>
    </row>
    <row r="343" spans="5:5" ht="14.5" customHeight="1">
      <c r="E343" s="32" t="s">
        <v>105</v>
      </c>
    </row>
    <row r="344" spans="5:5" ht="14.5" customHeight="1">
      <c r="E344" s="32" t="s">
        <v>105</v>
      </c>
    </row>
    <row r="345" spans="5:5" ht="14.5" customHeight="1">
      <c r="E345" s="32" t="s">
        <v>105</v>
      </c>
    </row>
    <row r="346" spans="5:5" ht="14.5" customHeight="1">
      <c r="E346" s="32" t="s">
        <v>105</v>
      </c>
    </row>
    <row r="347" spans="5:5" ht="14.5" customHeight="1">
      <c r="E347" s="32" t="s">
        <v>105</v>
      </c>
    </row>
    <row r="348" spans="5:5" ht="14.5" customHeight="1">
      <c r="E348" s="32" t="s">
        <v>105</v>
      </c>
    </row>
    <row r="349" spans="5:5" ht="14.5" customHeight="1">
      <c r="E349" s="32" t="s">
        <v>105</v>
      </c>
    </row>
    <row r="350" spans="5:5" ht="14.5" customHeight="1">
      <c r="E350" s="32" t="s">
        <v>105</v>
      </c>
    </row>
    <row r="351" spans="5:5" ht="14.5" customHeight="1">
      <c r="E351" s="32" t="s">
        <v>105</v>
      </c>
    </row>
    <row r="352" spans="5:5" ht="14.5" customHeight="1">
      <c r="E352" s="32" t="s">
        <v>105</v>
      </c>
    </row>
    <row r="353" spans="5:5" ht="14.5" customHeight="1">
      <c r="E353" s="32" t="s">
        <v>105</v>
      </c>
    </row>
    <row r="354" spans="5:5" ht="14.5" customHeight="1">
      <c r="E354" s="32" t="s">
        <v>105</v>
      </c>
    </row>
    <row r="355" spans="5:5" ht="14.5" customHeight="1">
      <c r="E355" s="32" t="s">
        <v>105</v>
      </c>
    </row>
    <row r="356" spans="5:5" ht="14.5" customHeight="1">
      <c r="E356" s="32" t="s">
        <v>105</v>
      </c>
    </row>
    <row r="357" spans="5:5" ht="14.5" customHeight="1">
      <c r="E357" s="32" t="s">
        <v>105</v>
      </c>
    </row>
    <row r="358" spans="5:5" ht="14.5" customHeight="1">
      <c r="E358" s="32" t="s">
        <v>105</v>
      </c>
    </row>
    <row r="359" spans="5:5" ht="14.5" customHeight="1">
      <c r="E359" s="32" t="s">
        <v>105</v>
      </c>
    </row>
    <row r="360" spans="5:5" ht="14.5" customHeight="1">
      <c r="E360" s="32" t="s">
        <v>105</v>
      </c>
    </row>
    <row r="361" spans="5:5" ht="14.5" customHeight="1">
      <c r="E361" s="32" t="s">
        <v>105</v>
      </c>
    </row>
    <row r="362" spans="5:5" ht="14.5" customHeight="1">
      <c r="E362" s="32" t="s">
        <v>105</v>
      </c>
    </row>
    <row r="363" spans="5:5" ht="14.5" customHeight="1">
      <c r="E363" s="32" t="s">
        <v>105</v>
      </c>
    </row>
    <row r="364" spans="5:5" ht="14.5" customHeight="1">
      <c r="E364" s="32" t="s">
        <v>105</v>
      </c>
    </row>
    <row r="365" spans="5:5" ht="14.5" customHeight="1">
      <c r="E365" s="32" t="s">
        <v>105</v>
      </c>
    </row>
    <row r="366" spans="5:5" ht="14.5" customHeight="1">
      <c r="E366" s="32" t="s">
        <v>105</v>
      </c>
    </row>
    <row r="367" spans="5:5" ht="14.5" customHeight="1">
      <c r="E367" s="32" t="s">
        <v>105</v>
      </c>
    </row>
    <row r="368" spans="5:5" ht="14.5" customHeight="1">
      <c r="E368" s="32" t="s">
        <v>105</v>
      </c>
    </row>
    <row r="369" spans="5:5" ht="14.5" customHeight="1">
      <c r="E369" s="32" t="s">
        <v>105</v>
      </c>
    </row>
    <row r="370" spans="5:5" ht="14.5" customHeight="1">
      <c r="E370" s="32" t="s">
        <v>105</v>
      </c>
    </row>
    <row r="371" spans="5:5" ht="14.5" customHeight="1">
      <c r="E371" s="32" t="s">
        <v>105</v>
      </c>
    </row>
    <row r="372" spans="5:5" ht="14.5" customHeight="1">
      <c r="E372" s="32" t="s">
        <v>105</v>
      </c>
    </row>
    <row r="373" spans="5:5" ht="14.5" customHeight="1">
      <c r="E373" s="32" t="s">
        <v>105</v>
      </c>
    </row>
    <row r="374" spans="5:5" ht="14.5" customHeight="1">
      <c r="E374" s="32" t="s">
        <v>105</v>
      </c>
    </row>
    <row r="375" spans="5:5" ht="14.5" customHeight="1">
      <c r="E375" s="32" t="s">
        <v>105</v>
      </c>
    </row>
    <row r="376" spans="5:5" ht="14.5" customHeight="1">
      <c r="E376" s="32" t="s">
        <v>105</v>
      </c>
    </row>
    <row r="377" spans="5:5" ht="14.5" customHeight="1">
      <c r="E377" s="32" t="s">
        <v>105</v>
      </c>
    </row>
    <row r="378" spans="5:5" ht="14.5" customHeight="1">
      <c r="E378" s="32" t="s">
        <v>105</v>
      </c>
    </row>
    <row r="379" spans="5:5" ht="14.5" customHeight="1">
      <c r="E379" s="32" t="s">
        <v>105</v>
      </c>
    </row>
    <row r="380" spans="5:5" ht="14.5" customHeight="1">
      <c r="E380" s="32" t="s">
        <v>105</v>
      </c>
    </row>
    <row r="381" spans="5:5" ht="14.5" customHeight="1">
      <c r="E381" s="32" t="s">
        <v>105</v>
      </c>
    </row>
    <row r="382" spans="5:5" ht="14.5" customHeight="1">
      <c r="E382" s="32" t="s">
        <v>105</v>
      </c>
    </row>
    <row r="383" spans="5:5" ht="14.5" customHeight="1">
      <c r="E383" s="32" t="s">
        <v>105</v>
      </c>
    </row>
    <row r="384" spans="5:5" ht="14.5" customHeight="1">
      <c r="E384" s="32" t="s">
        <v>105</v>
      </c>
    </row>
    <row r="385" spans="5:5" ht="14.5" customHeight="1">
      <c r="E385" s="32" t="s">
        <v>105</v>
      </c>
    </row>
    <row r="386" spans="5:5" ht="14.5" customHeight="1">
      <c r="E386" s="32" t="s">
        <v>105</v>
      </c>
    </row>
    <row r="387" spans="5:5" ht="14.5" customHeight="1">
      <c r="E387" s="32" t="s">
        <v>105</v>
      </c>
    </row>
    <row r="388" spans="5:5" ht="14.5" customHeight="1">
      <c r="E388" s="32" t="s">
        <v>105</v>
      </c>
    </row>
    <row r="389" spans="5:5" ht="14.5" customHeight="1">
      <c r="E389" s="32" t="s">
        <v>105</v>
      </c>
    </row>
    <row r="390" spans="5:5" ht="14.5" customHeight="1">
      <c r="E390" s="32" t="s">
        <v>105</v>
      </c>
    </row>
    <row r="391" spans="5:5" ht="14.5" customHeight="1">
      <c r="E391" s="32" t="s">
        <v>105</v>
      </c>
    </row>
    <row r="392" spans="5:5" ht="14.5" customHeight="1">
      <c r="E392" s="32" t="s">
        <v>105</v>
      </c>
    </row>
    <row r="393" spans="5:5" ht="14.5" customHeight="1">
      <c r="E393" s="32" t="s">
        <v>105</v>
      </c>
    </row>
    <row r="394" spans="5:5" ht="14.5" customHeight="1">
      <c r="E394" s="32" t="s">
        <v>105</v>
      </c>
    </row>
    <row r="395" spans="5:5" ht="14.5" customHeight="1">
      <c r="E395" s="32" t="s">
        <v>105</v>
      </c>
    </row>
    <row r="396" spans="5:5" ht="14.5" customHeight="1">
      <c r="E396" s="32" t="s">
        <v>105</v>
      </c>
    </row>
    <row r="397" spans="5:5" ht="14.5" customHeight="1">
      <c r="E397" s="32" t="s">
        <v>105</v>
      </c>
    </row>
    <row r="398" spans="5:5" ht="14.5" customHeight="1">
      <c r="E398" s="32" t="s">
        <v>105</v>
      </c>
    </row>
    <row r="399" spans="5:5" ht="14.5" customHeight="1">
      <c r="E399" s="32" t="s">
        <v>105</v>
      </c>
    </row>
    <row r="400" spans="5:5" ht="14.5" customHeight="1">
      <c r="E400" s="32" t="s">
        <v>105</v>
      </c>
    </row>
    <row r="401" spans="5:5" ht="14.5" customHeight="1">
      <c r="E401" s="32" t="s">
        <v>105</v>
      </c>
    </row>
  </sheetData>
  <sortState ref="A32:L51">
    <sortCondition ref="D32:D51"/>
  </sortState>
  <mergeCells count="5">
    <mergeCell ref="B91:F91"/>
    <mergeCell ref="B79:F79"/>
    <mergeCell ref="B99:F99"/>
    <mergeCell ref="B87:F87"/>
    <mergeCell ref="B105:F105"/>
  </mergeCells>
  <phoneticPr fontId="6" type="noConversion"/>
  <conditionalFormatting sqref="D95:E95 J92:K95 M92:M95 G95:I95 D92:I94">
    <cfRule type="expression" dxfId="33" priority="15">
      <formula>$E92="v?"</formula>
    </cfRule>
    <cfRule type="expression" dxfId="32" priority="16">
      <formula>$E92="vv"</formula>
    </cfRule>
    <cfRule type="expression" dxfId="31" priority="17">
      <formula>OR($E92="vx",$E92="xx")</formula>
    </cfRule>
    <cfRule type="expression" dxfId="30" priority="18">
      <formula>$E92="?"</formula>
    </cfRule>
  </conditionalFormatting>
  <conditionalFormatting sqref="B91 F95:F98">
    <cfRule type="expression" dxfId="29" priority="11">
      <formula>$E91="v?"</formula>
    </cfRule>
    <cfRule type="expression" dxfId="28" priority="12">
      <formula>$E91="vv"</formula>
    </cfRule>
    <cfRule type="expression" dxfId="27" priority="13">
      <formula>OR($E91="vx",$E91="xx")</formula>
    </cfRule>
    <cfRule type="expression" dxfId="26" priority="14">
      <formula>$E91="?"</formula>
    </cfRule>
  </conditionalFormatting>
  <conditionalFormatting sqref="I102">
    <cfRule type="expression" dxfId="25" priority="65">
      <formula>$E101="v?"</formula>
    </cfRule>
    <cfRule type="expression" dxfId="24" priority="66">
      <formula>$E101="vv"</formula>
    </cfRule>
    <cfRule type="expression" dxfId="23" priority="67">
      <formula>OR($E101="vx",$E101="xx")</formula>
    </cfRule>
    <cfRule type="expression" dxfId="22" priority="68">
      <formula>$E101="?"</formula>
    </cfRule>
  </conditionalFormatting>
  <conditionalFormatting sqref="F106 F104">
    <cfRule type="expression" dxfId="21" priority="97">
      <formula>#REF!="v?"</formula>
    </cfRule>
    <cfRule type="expression" dxfId="20" priority="98">
      <formula>#REF!="vv"</formula>
    </cfRule>
    <cfRule type="expression" dxfId="19" priority="99">
      <formula>OR(#REF!="vx",#REF!="xx")</formula>
    </cfRule>
    <cfRule type="expression" dxfId="18" priority="100">
      <formula>#REF!="?"</formula>
    </cfRule>
  </conditionalFormatting>
  <conditionalFormatting sqref="F106 F104 I106 I104">
    <cfRule type="expression" dxfId="17" priority="101">
      <formula>#REF!="v?"</formula>
    </cfRule>
    <cfRule type="expression" dxfId="16" priority="102">
      <formula>#REF!="vv"</formula>
    </cfRule>
    <cfRule type="expression" dxfId="15" priority="103">
      <formula>OR(#REF!="vx",#REF!="xx")</formula>
    </cfRule>
    <cfRule type="expression" dxfId="14" priority="104">
      <formula>#REF!="?"</formula>
    </cfRule>
  </conditionalFormatting>
  <conditionalFormatting sqref="I104">
    <cfRule type="expression" dxfId="13" priority="109">
      <formula>$E102="v?"</formula>
    </cfRule>
    <cfRule type="expression" dxfId="12" priority="110">
      <formula>$E102="vv"</formula>
    </cfRule>
    <cfRule type="expression" dxfId="11" priority="111">
      <formula>OR($E102="vx",$E102="xx")</formula>
    </cfRule>
    <cfRule type="expression" dxfId="10" priority="112">
      <formula>$E102="?"</formula>
    </cfRule>
  </conditionalFormatting>
  <conditionalFormatting sqref="I106">
    <cfRule type="expression" dxfId="9" priority="145">
      <formula>$E103="v?"</formula>
    </cfRule>
    <cfRule type="expression" dxfId="8" priority="146">
      <formula>$E103="vv"</formula>
    </cfRule>
    <cfRule type="expression" dxfId="7" priority="147">
      <formula>OR($E103="vx",$E103="xx")</formula>
    </cfRule>
    <cfRule type="expression" dxfId="6" priority="148">
      <formula>$E103="?"</formula>
    </cfRule>
  </conditionalFormatting>
  <conditionalFormatting sqref="B1:M1048576">
    <cfRule type="expression" dxfId="5" priority="2">
      <formula>$E1="v"</formula>
    </cfRule>
    <cfRule type="expression" dxfId="4" priority="20">
      <formula>$E1="vv"</formula>
    </cfRule>
    <cfRule type="expression" dxfId="3" priority="27">
      <formula>$E1="v?"</formula>
    </cfRule>
    <cfRule type="expression" dxfId="2" priority="35">
      <formula>OR($E1="vx",$E1="xx")</formula>
    </cfRule>
    <cfRule type="expression" dxfId="1" priority="36">
      <formula>$E1="???"</formula>
    </cfRule>
  </conditionalFormatting>
  <conditionalFormatting sqref="B1:K1048576">
    <cfRule type="expression" dxfId="0" priority="1">
      <formula>$E1="xv"</formula>
    </cfRule>
  </conditionalFormatting>
  <pageMargins left="0.7" right="0.7" top="0.75" bottom="0.75" header="0.3" footer="0.3"/>
  <pageSetup orientation="portrait" r:id="rId1"/>
  <ignoredErrors>
    <ignoredError sqref="D282" twoDigitTextYea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2C5D-C0E9-4F43-886D-6096C6C1879F}">
  <dimension ref="B1:K32"/>
  <sheetViews>
    <sheetView workbookViewId="0">
      <selection activeCell="B10" sqref="B10"/>
    </sheetView>
  </sheetViews>
  <sheetFormatPr defaultRowHeight="14.5"/>
  <cols>
    <col min="2" max="2" width="15.1796875" customWidth="1"/>
    <col min="3" max="3" width="23.36328125" customWidth="1"/>
    <col min="4" max="4" width="24.6328125" customWidth="1"/>
  </cols>
  <sheetData>
    <row r="1" spans="2:11">
      <c r="B1" s="2" t="s">
        <v>1190</v>
      </c>
    </row>
    <row r="2" spans="2:11">
      <c r="B2" s="2" t="s">
        <v>1192</v>
      </c>
      <c r="F2" t="s">
        <v>898</v>
      </c>
      <c r="K2" s="6" t="s">
        <v>896</v>
      </c>
    </row>
    <row r="3" spans="2:11">
      <c r="B3" s="2" t="s">
        <v>1193</v>
      </c>
      <c r="F3" t="s">
        <v>897</v>
      </c>
    </row>
    <row r="4" spans="2:11">
      <c r="B4" s="2" t="s">
        <v>1194</v>
      </c>
      <c r="F4" t="s">
        <v>899</v>
      </c>
    </row>
    <row r="5" spans="2:11">
      <c r="B5" s="2" t="s">
        <v>1195</v>
      </c>
      <c r="E5">
        <v>1914</v>
      </c>
      <c r="F5" t="s">
        <v>1191</v>
      </c>
      <c r="I5" s="2" t="s">
        <v>895</v>
      </c>
    </row>
    <row r="8" spans="2:11">
      <c r="B8" s="2" t="s">
        <v>1223</v>
      </c>
    </row>
    <row r="9" spans="2:11">
      <c r="B9" s="2"/>
    </row>
    <row r="10" spans="2:11">
      <c r="B10" s="2"/>
    </row>
    <row r="11" spans="2:11">
      <c r="B11" s="2"/>
    </row>
    <row r="12" spans="2:11">
      <c r="B12" s="2"/>
    </row>
    <row r="13" spans="2:11">
      <c r="B13" s="2"/>
    </row>
    <row r="15" spans="2:11">
      <c r="B15" s="2"/>
    </row>
    <row r="16" spans="2:11">
      <c r="B16" s="2"/>
    </row>
    <row r="17" spans="2:2">
      <c r="B17" s="2"/>
    </row>
    <row r="19" spans="2:2">
      <c r="B19" s="2"/>
    </row>
    <row r="21" spans="2:2">
      <c r="B21" s="2"/>
    </row>
    <row r="27" spans="2:2">
      <c r="B27" s="2"/>
    </row>
    <row r="29" spans="2:2">
      <c r="B29" s="2"/>
    </row>
    <row r="30" spans="2:2">
      <c r="B30" s="2"/>
    </row>
    <row r="32" spans="2:2">
      <c r="B32" s="2"/>
    </row>
  </sheetData>
  <hyperlinks>
    <hyperlink ref="K2" r:id="rId1" xr:uid="{3A64EE9D-1C51-4D47-BB0D-BCCAE88AA3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люди</vt:lpstr>
      <vt:lpstr>тел</vt:lpstr>
      <vt:lpstr>notes</vt:lpstr>
      <vt:lpstr>links</vt:lpstr>
      <vt:lpstr>нп</vt:lpstr>
      <vt:lpstr>doc</vt:lpstr>
      <vt:lpstr>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2026-01-15T12:23:01Z</dcterms:created>
  <dcterms:modified xsi:type="dcterms:W3CDTF">2026-09-19T22:55:43Z</dcterms:modified>
</cp:coreProperties>
</file>